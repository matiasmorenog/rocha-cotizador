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BD8C298-3F5B-4CDE-8ABB-5BFC1C7C40C5}" xr6:coauthVersionLast="47" xr6:coauthVersionMax="47" xr10:uidLastSave="{00000000-0000-0000-0000-000000000000}"/>
  <bookViews>
    <workbookView xWindow="-120" yWindow="-120" windowWidth="24240" windowHeight="13020" activeTab="3" xr2:uid="{399C09B2-2FDD-4830-808F-066B63610584}"/>
  </bookViews>
  <sheets>
    <sheet name="Pedido grande" sheetId="1" r:id="rId1"/>
    <sheet name="Pedido chico" sheetId="2" r:id="rId2"/>
    <sheet name="Lista de Precios" sheetId="3" r:id="rId3"/>
    <sheet name="Lista Clientes" sheetId="4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54" i="3" l="1"/>
  <c r="I653" i="3"/>
  <c r="H653" i="3"/>
  <c r="F653" i="3" s="1"/>
  <c r="G653" i="3"/>
  <c r="I652" i="3"/>
  <c r="H652" i="3"/>
  <c r="F652" i="3" s="1"/>
  <c r="G652" i="3"/>
  <c r="I651" i="3"/>
  <c r="H651" i="3"/>
  <c r="F651" i="3" s="1"/>
  <c r="G651" i="3"/>
  <c r="I650" i="3"/>
  <c r="H650" i="3"/>
  <c r="F650" i="3" s="1"/>
  <c r="G650" i="3"/>
  <c r="N649" i="3"/>
  <c r="L649" i="3"/>
  <c r="I649" i="3"/>
  <c r="H649" i="3"/>
  <c r="G649" i="3"/>
  <c r="F649" i="3"/>
  <c r="N648" i="3"/>
  <c r="L648" i="3"/>
  <c r="I648" i="3"/>
  <c r="H648" i="3"/>
  <c r="F648" i="3" s="1"/>
  <c r="G648" i="3"/>
  <c r="N647" i="3"/>
  <c r="L647" i="3"/>
  <c r="I647" i="3"/>
  <c r="H647" i="3"/>
  <c r="G647" i="3"/>
  <c r="F647" i="3"/>
  <c r="N646" i="3"/>
  <c r="L646" i="3"/>
  <c r="I646" i="3"/>
  <c r="H646" i="3"/>
  <c r="F646" i="3" s="1"/>
  <c r="G646" i="3"/>
  <c r="N645" i="3"/>
  <c r="L645" i="3"/>
  <c r="I645" i="3"/>
  <c r="H645" i="3"/>
  <c r="G645" i="3"/>
  <c r="F645" i="3"/>
  <c r="N644" i="3"/>
  <c r="L644" i="3"/>
  <c r="I644" i="3"/>
  <c r="H644" i="3"/>
  <c r="F644" i="3" s="1"/>
  <c r="G644" i="3"/>
  <c r="N643" i="3"/>
  <c r="L643" i="3"/>
  <c r="I643" i="3"/>
  <c r="H643" i="3"/>
  <c r="G643" i="3"/>
  <c r="F643" i="3"/>
  <c r="N642" i="3"/>
  <c r="L642" i="3"/>
  <c r="I642" i="3"/>
  <c r="H642" i="3"/>
  <c r="F642" i="3" s="1"/>
  <c r="G642" i="3"/>
  <c r="N641" i="3"/>
  <c r="L641" i="3"/>
  <c r="I641" i="3"/>
  <c r="H641" i="3"/>
  <c r="G641" i="3"/>
  <c r="F641" i="3"/>
  <c r="N640" i="3"/>
  <c r="L640" i="3"/>
  <c r="I640" i="3"/>
  <c r="H640" i="3"/>
  <c r="F640" i="3" s="1"/>
  <c r="G640" i="3"/>
  <c r="N639" i="3"/>
  <c r="L639" i="3"/>
  <c r="I639" i="3"/>
  <c r="H639" i="3"/>
  <c r="G639" i="3"/>
  <c r="F639" i="3"/>
  <c r="N638" i="3"/>
  <c r="L638" i="3"/>
  <c r="I638" i="3"/>
  <c r="H638" i="3"/>
  <c r="F638" i="3" s="1"/>
  <c r="G638" i="3"/>
  <c r="N637" i="3"/>
  <c r="L637" i="3"/>
  <c r="I637" i="3"/>
  <c r="H637" i="3"/>
  <c r="G637" i="3"/>
  <c r="F637" i="3"/>
  <c r="N636" i="3"/>
  <c r="L636" i="3"/>
  <c r="I636" i="3"/>
  <c r="H636" i="3"/>
  <c r="F636" i="3" s="1"/>
  <c r="G636" i="3"/>
  <c r="N635" i="3"/>
  <c r="L635" i="3"/>
  <c r="I635" i="3"/>
  <c r="H635" i="3"/>
  <c r="G635" i="3"/>
  <c r="F635" i="3"/>
  <c r="N634" i="3"/>
  <c r="L634" i="3"/>
  <c r="I634" i="3"/>
  <c r="H634" i="3"/>
  <c r="F634" i="3" s="1"/>
  <c r="G634" i="3"/>
  <c r="N633" i="3"/>
  <c r="L633" i="3"/>
  <c r="I633" i="3"/>
  <c r="H633" i="3"/>
  <c r="G633" i="3"/>
  <c r="F633" i="3"/>
  <c r="N632" i="3"/>
  <c r="L632" i="3"/>
  <c r="I632" i="3"/>
  <c r="H632" i="3"/>
  <c r="F632" i="3" s="1"/>
  <c r="G632" i="3"/>
  <c r="N631" i="3"/>
  <c r="L631" i="3"/>
  <c r="I631" i="3"/>
  <c r="H631" i="3"/>
  <c r="G631" i="3"/>
  <c r="F631" i="3"/>
  <c r="N630" i="3"/>
  <c r="L630" i="3"/>
  <c r="I630" i="3"/>
  <c r="H630" i="3"/>
  <c r="F630" i="3" s="1"/>
  <c r="G630" i="3"/>
  <c r="N629" i="3"/>
  <c r="L629" i="3"/>
  <c r="I629" i="3"/>
  <c r="H629" i="3"/>
  <c r="G629" i="3"/>
  <c r="F629" i="3"/>
  <c r="N628" i="3"/>
  <c r="L628" i="3"/>
  <c r="I628" i="3"/>
  <c r="H628" i="3"/>
  <c r="F628" i="3" s="1"/>
  <c r="G628" i="3"/>
  <c r="N627" i="3"/>
  <c r="L627" i="3"/>
  <c r="I627" i="3"/>
  <c r="H627" i="3"/>
  <c r="G627" i="3"/>
  <c r="F627" i="3"/>
  <c r="N626" i="3"/>
  <c r="L626" i="3"/>
  <c r="I626" i="3"/>
  <c r="H626" i="3"/>
  <c r="F626" i="3" s="1"/>
  <c r="G626" i="3"/>
  <c r="N625" i="3"/>
  <c r="L625" i="3"/>
  <c r="I625" i="3"/>
  <c r="H625" i="3"/>
  <c r="G625" i="3"/>
  <c r="F625" i="3"/>
  <c r="N624" i="3"/>
  <c r="L624" i="3"/>
  <c r="I624" i="3"/>
  <c r="H624" i="3"/>
  <c r="F624" i="3" s="1"/>
  <c r="G624" i="3"/>
  <c r="N623" i="3"/>
  <c r="L623" i="3"/>
  <c r="I623" i="3"/>
  <c r="H623" i="3"/>
  <c r="G623" i="3"/>
  <c r="F623" i="3"/>
  <c r="N622" i="3"/>
  <c r="L622" i="3"/>
  <c r="I622" i="3"/>
  <c r="H622" i="3"/>
  <c r="F622" i="3" s="1"/>
  <c r="G622" i="3"/>
  <c r="N621" i="3"/>
  <c r="L621" i="3"/>
  <c r="I621" i="3"/>
  <c r="H621" i="3"/>
  <c r="G621" i="3"/>
  <c r="F621" i="3"/>
  <c r="N620" i="3"/>
  <c r="L620" i="3"/>
  <c r="I620" i="3"/>
  <c r="H620" i="3"/>
  <c r="F620" i="3" s="1"/>
  <c r="G620" i="3"/>
  <c r="N619" i="3"/>
  <c r="L619" i="3"/>
  <c r="I619" i="3"/>
  <c r="H619" i="3"/>
  <c r="G619" i="3"/>
  <c r="F619" i="3"/>
  <c r="N618" i="3"/>
  <c r="L618" i="3"/>
  <c r="I618" i="3"/>
  <c r="H618" i="3"/>
  <c r="F618" i="3" s="1"/>
  <c r="G618" i="3"/>
  <c r="N617" i="3"/>
  <c r="L617" i="3"/>
  <c r="I617" i="3"/>
  <c r="H617" i="3"/>
  <c r="G617" i="3"/>
  <c r="F617" i="3"/>
  <c r="N616" i="3"/>
  <c r="L616" i="3"/>
  <c r="I616" i="3"/>
  <c r="H616" i="3"/>
  <c r="F616" i="3" s="1"/>
  <c r="G616" i="3"/>
  <c r="N615" i="3"/>
  <c r="L615" i="3"/>
  <c r="I615" i="3"/>
  <c r="H615" i="3"/>
  <c r="G615" i="3"/>
  <c r="F615" i="3"/>
  <c r="N614" i="3"/>
  <c r="L614" i="3"/>
  <c r="I614" i="3"/>
  <c r="H614" i="3"/>
  <c r="F614" i="3" s="1"/>
  <c r="G614" i="3"/>
  <c r="N613" i="3"/>
  <c r="L613" i="3"/>
  <c r="I613" i="3"/>
  <c r="H613" i="3"/>
  <c r="G613" i="3"/>
  <c r="F613" i="3"/>
  <c r="N612" i="3"/>
  <c r="L612" i="3"/>
  <c r="I612" i="3"/>
  <c r="H612" i="3"/>
  <c r="F612" i="3" s="1"/>
  <c r="G612" i="3"/>
  <c r="N611" i="3"/>
  <c r="L611" i="3"/>
  <c r="I611" i="3"/>
  <c r="H611" i="3"/>
  <c r="G611" i="3"/>
  <c r="F611" i="3"/>
  <c r="N610" i="3"/>
  <c r="L610" i="3"/>
  <c r="I610" i="3"/>
  <c r="H610" i="3"/>
  <c r="F610" i="3" s="1"/>
  <c r="G610" i="3"/>
  <c r="N609" i="3"/>
  <c r="L609" i="3"/>
  <c r="I609" i="3"/>
  <c r="H609" i="3"/>
  <c r="G609" i="3"/>
  <c r="F609" i="3"/>
  <c r="N608" i="3"/>
  <c r="L608" i="3"/>
  <c r="I608" i="3"/>
  <c r="H608" i="3"/>
  <c r="F608" i="3" s="1"/>
  <c r="G608" i="3"/>
  <c r="N607" i="3"/>
  <c r="L607" i="3"/>
  <c r="I607" i="3"/>
  <c r="H607" i="3"/>
  <c r="G607" i="3"/>
  <c r="F607" i="3"/>
  <c r="N606" i="3"/>
  <c r="L606" i="3"/>
  <c r="I606" i="3"/>
  <c r="H606" i="3"/>
  <c r="F606" i="3" s="1"/>
  <c r="G606" i="3"/>
  <c r="N605" i="3"/>
  <c r="L605" i="3"/>
  <c r="I605" i="3"/>
  <c r="H605" i="3"/>
  <c r="G605" i="3"/>
  <c r="F605" i="3"/>
  <c r="N604" i="3"/>
  <c r="L604" i="3"/>
  <c r="I604" i="3"/>
  <c r="H604" i="3"/>
  <c r="F604" i="3" s="1"/>
  <c r="G604" i="3"/>
  <c r="N603" i="3"/>
  <c r="L603" i="3"/>
  <c r="I603" i="3"/>
  <c r="H603" i="3"/>
  <c r="G603" i="3"/>
  <c r="F603" i="3"/>
  <c r="N602" i="3"/>
  <c r="L602" i="3"/>
  <c r="I602" i="3"/>
  <c r="H602" i="3"/>
  <c r="F602" i="3" s="1"/>
  <c r="G602" i="3"/>
  <c r="N601" i="3"/>
  <c r="L601" i="3"/>
  <c r="I601" i="3"/>
  <c r="H601" i="3"/>
  <c r="G601" i="3"/>
  <c r="F601" i="3"/>
  <c r="N600" i="3"/>
  <c r="L600" i="3"/>
  <c r="I600" i="3"/>
  <c r="H600" i="3"/>
  <c r="F600" i="3" s="1"/>
  <c r="G600" i="3"/>
  <c r="N599" i="3"/>
  <c r="L599" i="3"/>
  <c r="I599" i="3"/>
  <c r="H599" i="3"/>
  <c r="G599" i="3"/>
  <c r="F599" i="3"/>
  <c r="N598" i="3"/>
  <c r="L598" i="3"/>
  <c r="I598" i="3"/>
  <c r="H598" i="3"/>
  <c r="F598" i="3" s="1"/>
  <c r="G598" i="3"/>
  <c r="N597" i="3"/>
  <c r="L597" i="3"/>
  <c r="I597" i="3"/>
  <c r="H597" i="3"/>
  <c r="G597" i="3"/>
  <c r="F597" i="3"/>
  <c r="N596" i="3"/>
  <c r="L596" i="3"/>
  <c r="I596" i="3"/>
  <c r="H596" i="3"/>
  <c r="F596" i="3" s="1"/>
  <c r="G596" i="3"/>
  <c r="N595" i="3"/>
  <c r="L595" i="3"/>
  <c r="I595" i="3"/>
  <c r="H595" i="3"/>
  <c r="G595" i="3"/>
  <c r="F595" i="3"/>
  <c r="N594" i="3"/>
  <c r="L594" i="3"/>
  <c r="I594" i="3"/>
  <c r="H594" i="3"/>
  <c r="F594" i="3" s="1"/>
  <c r="G594" i="3"/>
  <c r="N593" i="3"/>
  <c r="L593" i="3"/>
  <c r="I593" i="3"/>
  <c r="H593" i="3"/>
  <c r="G593" i="3"/>
  <c r="F593" i="3"/>
  <c r="N592" i="3"/>
  <c r="L592" i="3"/>
  <c r="I592" i="3"/>
  <c r="H592" i="3"/>
  <c r="F592" i="3" s="1"/>
  <c r="G592" i="3"/>
  <c r="N591" i="3"/>
  <c r="L591" i="3"/>
  <c r="I591" i="3"/>
  <c r="H591" i="3"/>
  <c r="G591" i="3"/>
  <c r="F591" i="3"/>
  <c r="N590" i="3"/>
  <c r="L590" i="3"/>
  <c r="I590" i="3"/>
  <c r="H590" i="3"/>
  <c r="F590" i="3" s="1"/>
  <c r="G590" i="3"/>
  <c r="N589" i="3"/>
  <c r="L589" i="3"/>
  <c r="I589" i="3"/>
  <c r="H589" i="3"/>
  <c r="G589" i="3"/>
  <c r="F589" i="3"/>
  <c r="N588" i="3"/>
  <c r="L588" i="3"/>
  <c r="I588" i="3"/>
  <c r="H588" i="3"/>
  <c r="F588" i="3" s="1"/>
  <c r="G588" i="3"/>
  <c r="N587" i="3"/>
  <c r="L587" i="3"/>
  <c r="I587" i="3"/>
  <c r="H587" i="3"/>
  <c r="G587" i="3"/>
  <c r="F587" i="3"/>
  <c r="N586" i="3"/>
  <c r="L586" i="3"/>
  <c r="I586" i="3"/>
  <c r="H586" i="3"/>
  <c r="F586" i="3" s="1"/>
  <c r="G586" i="3"/>
  <c r="N585" i="3"/>
  <c r="L585" i="3"/>
  <c r="I585" i="3"/>
  <c r="H585" i="3"/>
  <c r="G585" i="3"/>
  <c r="F585" i="3"/>
  <c r="N584" i="3"/>
  <c r="L584" i="3"/>
  <c r="I584" i="3"/>
  <c r="H584" i="3"/>
  <c r="F584" i="3" s="1"/>
  <c r="G584" i="3"/>
  <c r="N583" i="3"/>
  <c r="L583" i="3"/>
  <c r="I583" i="3"/>
  <c r="H583" i="3"/>
  <c r="G583" i="3"/>
  <c r="F583" i="3"/>
  <c r="N582" i="3"/>
  <c r="L582" i="3"/>
  <c r="I582" i="3"/>
  <c r="H582" i="3"/>
  <c r="F582" i="3" s="1"/>
  <c r="G582" i="3"/>
  <c r="N581" i="3"/>
  <c r="L581" i="3"/>
  <c r="I581" i="3"/>
  <c r="H581" i="3"/>
  <c r="G581" i="3"/>
  <c r="F581" i="3"/>
  <c r="N580" i="3"/>
  <c r="L580" i="3"/>
  <c r="I580" i="3"/>
  <c r="H580" i="3"/>
  <c r="F580" i="3" s="1"/>
  <c r="G580" i="3"/>
  <c r="N579" i="3"/>
  <c r="L579" i="3"/>
  <c r="I579" i="3"/>
  <c r="H579" i="3"/>
  <c r="G579" i="3"/>
  <c r="F579" i="3"/>
  <c r="N578" i="3"/>
  <c r="L578" i="3"/>
  <c r="I578" i="3"/>
  <c r="H578" i="3"/>
  <c r="F578" i="3" s="1"/>
  <c r="G578" i="3"/>
  <c r="N577" i="3"/>
  <c r="L577" i="3"/>
  <c r="I577" i="3"/>
  <c r="H577" i="3"/>
  <c r="G577" i="3"/>
  <c r="F577" i="3"/>
  <c r="N576" i="3"/>
  <c r="L576" i="3"/>
  <c r="I576" i="3"/>
  <c r="H576" i="3"/>
  <c r="F576" i="3" s="1"/>
  <c r="G576" i="3"/>
  <c r="N575" i="3"/>
  <c r="L575" i="3"/>
  <c r="I575" i="3"/>
  <c r="H575" i="3"/>
  <c r="G575" i="3"/>
  <c r="F575" i="3"/>
  <c r="N574" i="3"/>
  <c r="L574" i="3"/>
  <c r="I574" i="3"/>
  <c r="H574" i="3"/>
  <c r="F574" i="3" s="1"/>
  <c r="G574" i="3"/>
  <c r="N573" i="3"/>
  <c r="L573" i="3"/>
  <c r="I573" i="3"/>
  <c r="H573" i="3"/>
  <c r="G573" i="3"/>
  <c r="F573" i="3"/>
  <c r="N572" i="3"/>
  <c r="L572" i="3"/>
  <c r="I572" i="3"/>
  <c r="H572" i="3"/>
  <c r="F572" i="3" s="1"/>
  <c r="G572" i="3"/>
  <c r="N571" i="3"/>
  <c r="L571" i="3"/>
  <c r="I571" i="3"/>
  <c r="H571" i="3"/>
  <c r="G571" i="3"/>
  <c r="F571" i="3"/>
  <c r="N570" i="3"/>
  <c r="L570" i="3"/>
  <c r="I570" i="3"/>
  <c r="H570" i="3"/>
  <c r="F570" i="3" s="1"/>
  <c r="G570" i="3"/>
  <c r="C570" i="3"/>
  <c r="O569" i="3"/>
  <c r="N569" i="3"/>
  <c r="L569" i="3"/>
  <c r="I569" i="3"/>
  <c r="H569" i="3"/>
  <c r="F569" i="3" s="1"/>
  <c r="G569" i="3"/>
  <c r="O568" i="3"/>
  <c r="N568" i="3"/>
  <c r="L568" i="3"/>
  <c r="I568" i="3"/>
  <c r="H568" i="3"/>
  <c r="F568" i="3" s="1"/>
  <c r="G568" i="3"/>
  <c r="O567" i="3"/>
  <c r="N567" i="3"/>
  <c r="L567" i="3"/>
  <c r="I567" i="3"/>
  <c r="H567" i="3"/>
  <c r="G567" i="3"/>
  <c r="F567" i="3"/>
  <c r="O566" i="3"/>
  <c r="N566" i="3"/>
  <c r="L566" i="3"/>
  <c r="I566" i="3"/>
  <c r="H566" i="3"/>
  <c r="G566" i="3"/>
  <c r="F566" i="3"/>
  <c r="O565" i="3"/>
  <c r="N565" i="3"/>
  <c r="L565" i="3"/>
  <c r="I565" i="3"/>
  <c r="H565" i="3"/>
  <c r="F565" i="3" s="1"/>
  <c r="G565" i="3"/>
  <c r="O564" i="3"/>
  <c r="N564" i="3"/>
  <c r="L564" i="3"/>
  <c r="I564" i="3"/>
  <c r="H564" i="3"/>
  <c r="F564" i="3" s="1"/>
  <c r="G564" i="3"/>
  <c r="N563" i="3"/>
  <c r="L563" i="3"/>
  <c r="I563" i="3"/>
  <c r="H563" i="3"/>
  <c r="G563" i="3"/>
  <c r="F563" i="3"/>
  <c r="O562" i="3"/>
  <c r="O563" i="3" s="1"/>
  <c r="N562" i="3"/>
  <c r="L562" i="3"/>
  <c r="I562" i="3"/>
  <c r="H562" i="3"/>
  <c r="G562" i="3"/>
  <c r="F562" i="3"/>
  <c r="O561" i="3"/>
  <c r="N561" i="3"/>
  <c r="L561" i="3"/>
  <c r="I561" i="3"/>
  <c r="H561" i="3"/>
  <c r="F561" i="3" s="1"/>
  <c r="G561" i="3"/>
  <c r="O560" i="3"/>
  <c r="N560" i="3"/>
  <c r="L560" i="3"/>
  <c r="I560" i="3"/>
  <c r="H560" i="3"/>
  <c r="F560" i="3" s="1"/>
  <c r="G560" i="3"/>
  <c r="O559" i="3"/>
  <c r="N559" i="3"/>
  <c r="L559" i="3"/>
  <c r="I559" i="3"/>
  <c r="H559" i="3"/>
  <c r="G559" i="3"/>
  <c r="F559" i="3"/>
  <c r="O558" i="3"/>
  <c r="N558" i="3"/>
  <c r="L558" i="3"/>
  <c r="I558" i="3"/>
  <c r="H558" i="3"/>
  <c r="G558" i="3"/>
  <c r="F558" i="3"/>
  <c r="O557" i="3"/>
  <c r="N557" i="3"/>
  <c r="L557" i="3"/>
  <c r="M557" i="3" s="1"/>
  <c r="I557" i="3"/>
  <c r="H557" i="3"/>
  <c r="G557" i="3"/>
  <c r="F557" i="3"/>
  <c r="O556" i="3"/>
  <c r="N556" i="3"/>
  <c r="L556" i="3"/>
  <c r="I556" i="3"/>
  <c r="H556" i="3"/>
  <c r="F556" i="3" s="1"/>
  <c r="G556" i="3"/>
  <c r="O555" i="3"/>
  <c r="N555" i="3"/>
  <c r="L555" i="3"/>
  <c r="I555" i="3"/>
  <c r="H555" i="3"/>
  <c r="F555" i="3" s="1"/>
  <c r="G555" i="3"/>
  <c r="O554" i="3"/>
  <c r="N554" i="3"/>
  <c r="L554" i="3"/>
  <c r="I554" i="3"/>
  <c r="H554" i="3"/>
  <c r="G554" i="3"/>
  <c r="F554" i="3"/>
  <c r="O553" i="3"/>
  <c r="N553" i="3"/>
  <c r="L553" i="3"/>
  <c r="I553" i="3"/>
  <c r="H553" i="3"/>
  <c r="G553" i="3"/>
  <c r="F553" i="3"/>
  <c r="O552" i="3"/>
  <c r="N552" i="3"/>
  <c r="L552" i="3"/>
  <c r="I552" i="3"/>
  <c r="H552" i="3"/>
  <c r="F552" i="3" s="1"/>
  <c r="G552" i="3"/>
  <c r="O551" i="3"/>
  <c r="N551" i="3"/>
  <c r="L551" i="3"/>
  <c r="I551" i="3"/>
  <c r="H551" i="3"/>
  <c r="F551" i="3" s="1"/>
  <c r="G551" i="3"/>
  <c r="O550" i="3"/>
  <c r="N550" i="3"/>
  <c r="L550" i="3"/>
  <c r="I550" i="3"/>
  <c r="H550" i="3"/>
  <c r="G550" i="3"/>
  <c r="F550" i="3"/>
  <c r="O549" i="3"/>
  <c r="N549" i="3"/>
  <c r="L549" i="3"/>
  <c r="I549" i="3"/>
  <c r="H549" i="3"/>
  <c r="G549" i="3"/>
  <c r="F549" i="3"/>
  <c r="O548" i="3"/>
  <c r="N548" i="3"/>
  <c r="L548" i="3"/>
  <c r="I548" i="3"/>
  <c r="H548" i="3"/>
  <c r="F548" i="3" s="1"/>
  <c r="G548" i="3"/>
  <c r="O547" i="3"/>
  <c r="N547" i="3"/>
  <c r="L547" i="3"/>
  <c r="I547" i="3"/>
  <c r="H547" i="3"/>
  <c r="F547" i="3" s="1"/>
  <c r="G547" i="3"/>
  <c r="N546" i="3"/>
  <c r="L546" i="3"/>
  <c r="I546" i="3"/>
  <c r="H546" i="3"/>
  <c r="G546" i="3"/>
  <c r="F546" i="3"/>
  <c r="O545" i="3"/>
  <c r="N545" i="3"/>
  <c r="L545" i="3"/>
  <c r="I545" i="3"/>
  <c r="H545" i="3"/>
  <c r="F545" i="3" s="1"/>
  <c r="G545" i="3"/>
  <c r="N544" i="3"/>
  <c r="L544" i="3"/>
  <c r="I544" i="3"/>
  <c r="H544" i="3"/>
  <c r="G544" i="3"/>
  <c r="F544" i="3"/>
  <c r="N543" i="3"/>
  <c r="L543" i="3"/>
  <c r="I543" i="3"/>
  <c r="H543" i="3"/>
  <c r="F543" i="3" s="1"/>
  <c r="G543" i="3"/>
  <c r="N542" i="3"/>
  <c r="L542" i="3"/>
  <c r="I542" i="3"/>
  <c r="H542" i="3"/>
  <c r="G542" i="3"/>
  <c r="F542" i="3"/>
  <c r="N541" i="3"/>
  <c r="L541" i="3"/>
  <c r="I541" i="3"/>
  <c r="H541" i="3"/>
  <c r="F541" i="3" s="1"/>
  <c r="G541" i="3"/>
  <c r="N540" i="3"/>
  <c r="L540" i="3"/>
  <c r="I540" i="3"/>
  <c r="H540" i="3"/>
  <c r="G540" i="3"/>
  <c r="F540" i="3"/>
  <c r="N539" i="3"/>
  <c r="L539" i="3"/>
  <c r="I539" i="3"/>
  <c r="H539" i="3"/>
  <c r="F539" i="3" s="1"/>
  <c r="G539" i="3"/>
  <c r="N538" i="3"/>
  <c r="L538" i="3"/>
  <c r="I538" i="3"/>
  <c r="H538" i="3"/>
  <c r="G538" i="3"/>
  <c r="F538" i="3"/>
  <c r="N537" i="3"/>
  <c r="L537" i="3"/>
  <c r="I537" i="3"/>
  <c r="H537" i="3"/>
  <c r="F537" i="3" s="1"/>
  <c r="G537" i="3"/>
  <c r="N536" i="3"/>
  <c r="L536" i="3"/>
  <c r="I536" i="3"/>
  <c r="H536" i="3"/>
  <c r="G536" i="3"/>
  <c r="F536" i="3"/>
  <c r="N535" i="3"/>
  <c r="L535" i="3"/>
  <c r="I535" i="3"/>
  <c r="H535" i="3"/>
  <c r="F535" i="3" s="1"/>
  <c r="G535" i="3"/>
  <c r="N534" i="3"/>
  <c r="L534" i="3"/>
  <c r="I534" i="3"/>
  <c r="H534" i="3"/>
  <c r="G534" i="3"/>
  <c r="F534" i="3"/>
  <c r="N533" i="3"/>
  <c r="L533" i="3"/>
  <c r="I533" i="3"/>
  <c r="H533" i="3"/>
  <c r="F533" i="3" s="1"/>
  <c r="G533" i="3"/>
  <c r="N532" i="3"/>
  <c r="L532" i="3"/>
  <c r="I532" i="3"/>
  <c r="H532" i="3"/>
  <c r="G532" i="3"/>
  <c r="F532" i="3"/>
  <c r="N531" i="3"/>
  <c r="L531" i="3"/>
  <c r="I531" i="3"/>
  <c r="H531" i="3"/>
  <c r="F531" i="3" s="1"/>
  <c r="G531" i="3"/>
  <c r="N530" i="3"/>
  <c r="L530" i="3"/>
  <c r="I530" i="3"/>
  <c r="H530" i="3"/>
  <c r="G530" i="3"/>
  <c r="F530" i="3"/>
  <c r="N529" i="3"/>
  <c r="L529" i="3"/>
  <c r="I529" i="3"/>
  <c r="H529" i="3"/>
  <c r="F529" i="3" s="1"/>
  <c r="G529" i="3"/>
  <c r="N528" i="3"/>
  <c r="L528" i="3"/>
  <c r="I528" i="3"/>
  <c r="H528" i="3"/>
  <c r="G528" i="3"/>
  <c r="F528" i="3"/>
  <c r="N527" i="3"/>
  <c r="L527" i="3"/>
  <c r="I527" i="3"/>
  <c r="H527" i="3"/>
  <c r="F527" i="3" s="1"/>
  <c r="G527" i="3"/>
  <c r="N526" i="3"/>
  <c r="L526" i="3"/>
  <c r="I526" i="3"/>
  <c r="H526" i="3"/>
  <c r="G526" i="3"/>
  <c r="F526" i="3"/>
  <c r="N525" i="3"/>
  <c r="L525" i="3"/>
  <c r="I525" i="3"/>
  <c r="H525" i="3"/>
  <c r="F525" i="3" s="1"/>
  <c r="G525" i="3"/>
  <c r="N524" i="3"/>
  <c r="L524" i="3"/>
  <c r="I524" i="3"/>
  <c r="H524" i="3"/>
  <c r="G524" i="3"/>
  <c r="F524" i="3"/>
  <c r="N523" i="3"/>
  <c r="L523" i="3"/>
  <c r="I523" i="3"/>
  <c r="H523" i="3"/>
  <c r="F523" i="3" s="1"/>
  <c r="G523" i="3"/>
  <c r="C523" i="3"/>
  <c r="N522" i="3"/>
  <c r="L522" i="3"/>
  <c r="I522" i="3"/>
  <c r="H522" i="3"/>
  <c r="F522" i="3" s="1"/>
  <c r="G522" i="3"/>
  <c r="N521" i="3"/>
  <c r="L521" i="3"/>
  <c r="I521" i="3"/>
  <c r="H521" i="3"/>
  <c r="G521" i="3"/>
  <c r="F521" i="3"/>
  <c r="N520" i="3"/>
  <c r="L520" i="3"/>
  <c r="I520" i="3"/>
  <c r="H520" i="3"/>
  <c r="F520" i="3" s="1"/>
  <c r="G520" i="3"/>
  <c r="N519" i="3"/>
  <c r="L519" i="3"/>
  <c r="I519" i="3"/>
  <c r="H519" i="3"/>
  <c r="G519" i="3"/>
  <c r="F519" i="3"/>
  <c r="N518" i="3"/>
  <c r="L518" i="3"/>
  <c r="I518" i="3"/>
  <c r="H518" i="3"/>
  <c r="F518" i="3" s="1"/>
  <c r="G518" i="3"/>
  <c r="N517" i="3"/>
  <c r="L517" i="3"/>
  <c r="I517" i="3"/>
  <c r="H517" i="3"/>
  <c r="G517" i="3"/>
  <c r="F517" i="3"/>
  <c r="N516" i="3"/>
  <c r="L516" i="3"/>
  <c r="I516" i="3"/>
  <c r="H516" i="3"/>
  <c r="F516" i="3" s="1"/>
  <c r="G516" i="3"/>
  <c r="N515" i="3"/>
  <c r="L515" i="3"/>
  <c r="I515" i="3"/>
  <c r="H515" i="3"/>
  <c r="G515" i="3"/>
  <c r="F515" i="3"/>
  <c r="N514" i="3"/>
  <c r="L514" i="3"/>
  <c r="I514" i="3"/>
  <c r="H514" i="3"/>
  <c r="F514" i="3" s="1"/>
  <c r="G514" i="3"/>
  <c r="N513" i="3"/>
  <c r="L513" i="3"/>
  <c r="I513" i="3"/>
  <c r="H513" i="3"/>
  <c r="G513" i="3"/>
  <c r="F513" i="3"/>
  <c r="N512" i="3"/>
  <c r="L512" i="3"/>
  <c r="I512" i="3"/>
  <c r="H512" i="3"/>
  <c r="F512" i="3" s="1"/>
  <c r="G512" i="3"/>
  <c r="N511" i="3"/>
  <c r="L511" i="3"/>
  <c r="I511" i="3"/>
  <c r="H511" i="3"/>
  <c r="G511" i="3"/>
  <c r="F511" i="3"/>
  <c r="N510" i="3"/>
  <c r="L510" i="3"/>
  <c r="I510" i="3"/>
  <c r="H510" i="3"/>
  <c r="F510" i="3" s="1"/>
  <c r="G510" i="3"/>
  <c r="N509" i="3"/>
  <c r="L509" i="3"/>
  <c r="I509" i="3"/>
  <c r="H509" i="3"/>
  <c r="G509" i="3"/>
  <c r="F509" i="3"/>
  <c r="N508" i="3"/>
  <c r="L508" i="3"/>
  <c r="I508" i="3"/>
  <c r="H508" i="3"/>
  <c r="F508" i="3" s="1"/>
  <c r="G508" i="3"/>
  <c r="N507" i="3"/>
  <c r="L507" i="3"/>
  <c r="I507" i="3"/>
  <c r="H507" i="3"/>
  <c r="G507" i="3"/>
  <c r="F507" i="3"/>
  <c r="N506" i="3"/>
  <c r="L506" i="3"/>
  <c r="I506" i="3"/>
  <c r="H506" i="3"/>
  <c r="F506" i="3" s="1"/>
  <c r="G506" i="3"/>
  <c r="N505" i="3"/>
  <c r="L505" i="3"/>
  <c r="I505" i="3"/>
  <c r="H505" i="3"/>
  <c r="G505" i="3"/>
  <c r="F505" i="3"/>
  <c r="N504" i="3"/>
  <c r="L504" i="3"/>
  <c r="I504" i="3"/>
  <c r="H504" i="3"/>
  <c r="F504" i="3" s="1"/>
  <c r="G504" i="3"/>
  <c r="N503" i="3"/>
  <c r="L503" i="3"/>
  <c r="I503" i="3"/>
  <c r="H503" i="3"/>
  <c r="G503" i="3"/>
  <c r="F503" i="3"/>
  <c r="N502" i="3"/>
  <c r="L502" i="3"/>
  <c r="I502" i="3"/>
  <c r="H502" i="3"/>
  <c r="F502" i="3" s="1"/>
  <c r="G502" i="3"/>
  <c r="N501" i="3"/>
  <c r="L501" i="3"/>
  <c r="I501" i="3"/>
  <c r="H501" i="3"/>
  <c r="G501" i="3"/>
  <c r="F501" i="3"/>
  <c r="N500" i="3"/>
  <c r="L500" i="3"/>
  <c r="I500" i="3"/>
  <c r="H500" i="3"/>
  <c r="F500" i="3" s="1"/>
  <c r="G500" i="3"/>
  <c r="N499" i="3"/>
  <c r="L499" i="3"/>
  <c r="I499" i="3"/>
  <c r="H499" i="3"/>
  <c r="G499" i="3"/>
  <c r="F499" i="3"/>
  <c r="N498" i="3"/>
  <c r="L498" i="3"/>
  <c r="I498" i="3"/>
  <c r="H498" i="3"/>
  <c r="F498" i="3" s="1"/>
  <c r="G498" i="3"/>
  <c r="N497" i="3"/>
  <c r="L497" i="3"/>
  <c r="I497" i="3"/>
  <c r="H497" i="3"/>
  <c r="G497" i="3"/>
  <c r="F497" i="3"/>
  <c r="N496" i="3"/>
  <c r="L496" i="3"/>
  <c r="I496" i="3"/>
  <c r="H496" i="3"/>
  <c r="F496" i="3" s="1"/>
  <c r="G496" i="3"/>
  <c r="N495" i="3"/>
  <c r="L495" i="3"/>
  <c r="I495" i="3"/>
  <c r="H495" i="3"/>
  <c r="G495" i="3"/>
  <c r="F495" i="3"/>
  <c r="N494" i="3"/>
  <c r="L494" i="3"/>
  <c r="I494" i="3"/>
  <c r="H494" i="3"/>
  <c r="F494" i="3" s="1"/>
  <c r="G494" i="3"/>
  <c r="N493" i="3"/>
  <c r="L493" i="3"/>
  <c r="I493" i="3"/>
  <c r="H493" i="3"/>
  <c r="G493" i="3"/>
  <c r="F493" i="3"/>
  <c r="N492" i="3"/>
  <c r="L492" i="3"/>
  <c r="I492" i="3"/>
  <c r="H492" i="3"/>
  <c r="F492" i="3" s="1"/>
  <c r="G492" i="3"/>
  <c r="C492" i="3"/>
  <c r="N491" i="3"/>
  <c r="L491" i="3"/>
  <c r="I491" i="3"/>
  <c r="H491" i="3"/>
  <c r="F491" i="3" s="1"/>
  <c r="G491" i="3"/>
  <c r="N490" i="3"/>
  <c r="L490" i="3"/>
  <c r="I490" i="3"/>
  <c r="H490" i="3"/>
  <c r="G490" i="3"/>
  <c r="F490" i="3"/>
  <c r="N489" i="3"/>
  <c r="L489" i="3"/>
  <c r="I489" i="3"/>
  <c r="H489" i="3"/>
  <c r="F489" i="3" s="1"/>
  <c r="G489" i="3"/>
  <c r="N488" i="3"/>
  <c r="L488" i="3"/>
  <c r="I488" i="3"/>
  <c r="H488" i="3"/>
  <c r="G488" i="3"/>
  <c r="F488" i="3"/>
  <c r="N487" i="3"/>
  <c r="L487" i="3"/>
  <c r="I487" i="3"/>
  <c r="H487" i="3"/>
  <c r="F487" i="3" s="1"/>
  <c r="G487" i="3"/>
  <c r="N486" i="3"/>
  <c r="L486" i="3"/>
  <c r="I486" i="3"/>
  <c r="H486" i="3"/>
  <c r="G486" i="3"/>
  <c r="F486" i="3"/>
  <c r="N485" i="3"/>
  <c r="L485" i="3"/>
  <c r="I485" i="3"/>
  <c r="H485" i="3"/>
  <c r="F485" i="3" s="1"/>
  <c r="G485" i="3"/>
  <c r="N484" i="3"/>
  <c r="L484" i="3"/>
  <c r="I484" i="3"/>
  <c r="H484" i="3"/>
  <c r="G484" i="3"/>
  <c r="F484" i="3"/>
  <c r="N483" i="3"/>
  <c r="L483" i="3"/>
  <c r="I483" i="3"/>
  <c r="H483" i="3"/>
  <c r="F483" i="3" s="1"/>
  <c r="G483" i="3"/>
  <c r="N482" i="3"/>
  <c r="L482" i="3"/>
  <c r="I482" i="3"/>
  <c r="H482" i="3"/>
  <c r="G482" i="3"/>
  <c r="F482" i="3"/>
  <c r="N481" i="3"/>
  <c r="L481" i="3"/>
  <c r="I481" i="3"/>
  <c r="H481" i="3"/>
  <c r="F481" i="3" s="1"/>
  <c r="G481" i="3"/>
  <c r="N480" i="3"/>
  <c r="L480" i="3"/>
  <c r="I480" i="3"/>
  <c r="H480" i="3"/>
  <c r="G480" i="3"/>
  <c r="F480" i="3"/>
  <c r="N479" i="3"/>
  <c r="L479" i="3"/>
  <c r="I479" i="3"/>
  <c r="H479" i="3"/>
  <c r="F479" i="3" s="1"/>
  <c r="G479" i="3"/>
  <c r="N478" i="3"/>
  <c r="L478" i="3"/>
  <c r="I478" i="3"/>
  <c r="H478" i="3"/>
  <c r="G478" i="3"/>
  <c r="F478" i="3"/>
  <c r="N477" i="3"/>
  <c r="L477" i="3"/>
  <c r="I477" i="3"/>
  <c r="H477" i="3"/>
  <c r="F477" i="3" s="1"/>
  <c r="G477" i="3"/>
  <c r="N476" i="3"/>
  <c r="L476" i="3"/>
  <c r="I476" i="3"/>
  <c r="H476" i="3"/>
  <c r="G476" i="3"/>
  <c r="F476" i="3"/>
  <c r="N475" i="3"/>
  <c r="L475" i="3"/>
  <c r="I475" i="3"/>
  <c r="H475" i="3"/>
  <c r="F475" i="3" s="1"/>
  <c r="G475" i="3"/>
  <c r="N474" i="3"/>
  <c r="L474" i="3"/>
  <c r="I474" i="3"/>
  <c r="H474" i="3"/>
  <c r="G474" i="3"/>
  <c r="F474" i="3"/>
  <c r="N473" i="3"/>
  <c r="L473" i="3"/>
  <c r="I473" i="3"/>
  <c r="H473" i="3"/>
  <c r="F473" i="3" s="1"/>
  <c r="G473" i="3"/>
  <c r="N472" i="3"/>
  <c r="L472" i="3"/>
  <c r="I472" i="3"/>
  <c r="H472" i="3"/>
  <c r="G472" i="3"/>
  <c r="F472" i="3"/>
  <c r="N471" i="3"/>
  <c r="L471" i="3"/>
  <c r="I471" i="3"/>
  <c r="H471" i="3"/>
  <c r="F471" i="3" s="1"/>
  <c r="G471" i="3"/>
  <c r="N470" i="3"/>
  <c r="L470" i="3"/>
  <c r="I470" i="3"/>
  <c r="H470" i="3"/>
  <c r="G470" i="3"/>
  <c r="F470" i="3"/>
  <c r="N469" i="3"/>
  <c r="L469" i="3"/>
  <c r="I469" i="3"/>
  <c r="H469" i="3"/>
  <c r="F469" i="3" s="1"/>
  <c r="G469" i="3"/>
  <c r="N468" i="3"/>
  <c r="L468" i="3"/>
  <c r="I468" i="3"/>
  <c r="H468" i="3"/>
  <c r="G468" i="3"/>
  <c r="F468" i="3"/>
  <c r="N467" i="3"/>
  <c r="L467" i="3"/>
  <c r="I467" i="3"/>
  <c r="H467" i="3"/>
  <c r="F467" i="3" s="1"/>
  <c r="G467" i="3"/>
  <c r="N466" i="3"/>
  <c r="L466" i="3"/>
  <c r="I466" i="3"/>
  <c r="H466" i="3"/>
  <c r="G466" i="3"/>
  <c r="F466" i="3"/>
  <c r="N465" i="3"/>
  <c r="L465" i="3"/>
  <c r="I465" i="3"/>
  <c r="H465" i="3"/>
  <c r="F465" i="3" s="1"/>
  <c r="G465" i="3"/>
  <c r="N464" i="3"/>
  <c r="L464" i="3"/>
  <c r="I464" i="3"/>
  <c r="H464" i="3"/>
  <c r="G464" i="3"/>
  <c r="F464" i="3"/>
  <c r="N463" i="3"/>
  <c r="L463" i="3"/>
  <c r="I463" i="3"/>
  <c r="H463" i="3"/>
  <c r="F463" i="3" s="1"/>
  <c r="G463" i="3"/>
  <c r="N462" i="3"/>
  <c r="L462" i="3"/>
  <c r="I462" i="3"/>
  <c r="H462" i="3"/>
  <c r="G462" i="3"/>
  <c r="F462" i="3"/>
  <c r="N461" i="3"/>
  <c r="L461" i="3"/>
  <c r="I461" i="3"/>
  <c r="H461" i="3"/>
  <c r="F461" i="3" s="1"/>
  <c r="G461" i="3"/>
  <c r="N460" i="3"/>
  <c r="L460" i="3"/>
  <c r="I460" i="3"/>
  <c r="H460" i="3"/>
  <c r="G460" i="3"/>
  <c r="F460" i="3"/>
  <c r="N459" i="3"/>
  <c r="L459" i="3"/>
  <c r="I459" i="3"/>
  <c r="H459" i="3"/>
  <c r="F459" i="3" s="1"/>
  <c r="G459" i="3"/>
  <c r="N458" i="3"/>
  <c r="L458" i="3"/>
  <c r="I458" i="3"/>
  <c r="H458" i="3"/>
  <c r="G458" i="3"/>
  <c r="F458" i="3"/>
  <c r="N457" i="3"/>
  <c r="L457" i="3"/>
  <c r="I457" i="3"/>
  <c r="H457" i="3"/>
  <c r="F457" i="3" s="1"/>
  <c r="G457" i="3"/>
  <c r="N456" i="3"/>
  <c r="L456" i="3"/>
  <c r="I456" i="3"/>
  <c r="H456" i="3"/>
  <c r="G456" i="3"/>
  <c r="F456" i="3"/>
  <c r="N455" i="3"/>
  <c r="L455" i="3"/>
  <c r="I455" i="3"/>
  <c r="H455" i="3"/>
  <c r="F455" i="3" s="1"/>
  <c r="G455" i="3"/>
  <c r="N454" i="3"/>
  <c r="L454" i="3"/>
  <c r="I454" i="3"/>
  <c r="H454" i="3"/>
  <c r="G454" i="3"/>
  <c r="F454" i="3"/>
  <c r="N453" i="3"/>
  <c r="L453" i="3"/>
  <c r="I453" i="3"/>
  <c r="H453" i="3"/>
  <c r="F453" i="3" s="1"/>
  <c r="G453" i="3"/>
  <c r="N452" i="3"/>
  <c r="L452" i="3"/>
  <c r="I452" i="3"/>
  <c r="H452" i="3"/>
  <c r="G452" i="3"/>
  <c r="F452" i="3"/>
  <c r="N451" i="3"/>
  <c r="L451" i="3"/>
  <c r="I451" i="3"/>
  <c r="H451" i="3"/>
  <c r="F451" i="3" s="1"/>
  <c r="G451" i="3"/>
  <c r="N450" i="3"/>
  <c r="L450" i="3"/>
  <c r="I450" i="3"/>
  <c r="H450" i="3"/>
  <c r="G450" i="3"/>
  <c r="F450" i="3"/>
  <c r="N449" i="3"/>
  <c r="L449" i="3"/>
  <c r="I449" i="3"/>
  <c r="H449" i="3"/>
  <c r="F449" i="3" s="1"/>
  <c r="G449" i="3"/>
  <c r="N448" i="3"/>
  <c r="L448" i="3"/>
  <c r="I448" i="3"/>
  <c r="H448" i="3"/>
  <c r="G448" i="3"/>
  <c r="F448" i="3"/>
  <c r="N447" i="3"/>
  <c r="L447" i="3"/>
  <c r="I447" i="3"/>
  <c r="H447" i="3"/>
  <c r="F447" i="3" s="1"/>
  <c r="G447" i="3"/>
  <c r="N446" i="3"/>
  <c r="L446" i="3"/>
  <c r="I446" i="3"/>
  <c r="H446" i="3"/>
  <c r="G446" i="3"/>
  <c r="F446" i="3"/>
  <c r="N445" i="3"/>
  <c r="L445" i="3"/>
  <c r="I445" i="3"/>
  <c r="H445" i="3"/>
  <c r="F445" i="3" s="1"/>
  <c r="G445" i="3"/>
  <c r="N444" i="3"/>
  <c r="L444" i="3"/>
  <c r="I444" i="3"/>
  <c r="H444" i="3"/>
  <c r="G444" i="3"/>
  <c r="F444" i="3"/>
  <c r="C444" i="3"/>
  <c r="N443" i="3"/>
  <c r="L443" i="3"/>
  <c r="I443" i="3"/>
  <c r="H443" i="3"/>
  <c r="F443" i="3" s="1"/>
  <c r="G443" i="3"/>
  <c r="N442" i="3"/>
  <c r="L442" i="3"/>
  <c r="I442" i="3"/>
  <c r="H442" i="3"/>
  <c r="G442" i="3"/>
  <c r="F442" i="3"/>
  <c r="N441" i="3"/>
  <c r="L441" i="3"/>
  <c r="I441" i="3"/>
  <c r="H441" i="3"/>
  <c r="F441" i="3" s="1"/>
  <c r="G441" i="3"/>
  <c r="N440" i="3"/>
  <c r="L440" i="3"/>
  <c r="I440" i="3"/>
  <c r="H440" i="3"/>
  <c r="G440" i="3"/>
  <c r="F440" i="3"/>
  <c r="N439" i="3"/>
  <c r="L439" i="3"/>
  <c r="I439" i="3"/>
  <c r="H439" i="3"/>
  <c r="F439" i="3" s="1"/>
  <c r="G439" i="3"/>
  <c r="N438" i="3"/>
  <c r="L438" i="3"/>
  <c r="I438" i="3"/>
  <c r="H438" i="3"/>
  <c r="G438" i="3"/>
  <c r="F438" i="3"/>
  <c r="N437" i="3"/>
  <c r="L437" i="3"/>
  <c r="I437" i="3"/>
  <c r="H437" i="3"/>
  <c r="F437" i="3" s="1"/>
  <c r="G437" i="3"/>
  <c r="N436" i="3"/>
  <c r="L436" i="3"/>
  <c r="I436" i="3"/>
  <c r="H436" i="3"/>
  <c r="G436" i="3"/>
  <c r="F436" i="3"/>
  <c r="N435" i="3"/>
  <c r="L435" i="3"/>
  <c r="I435" i="3"/>
  <c r="H435" i="3"/>
  <c r="F435" i="3" s="1"/>
  <c r="G435" i="3"/>
  <c r="N434" i="3"/>
  <c r="L434" i="3"/>
  <c r="I434" i="3"/>
  <c r="H434" i="3"/>
  <c r="G434" i="3"/>
  <c r="F434" i="3"/>
  <c r="N433" i="3"/>
  <c r="L433" i="3"/>
  <c r="I433" i="3"/>
  <c r="H433" i="3"/>
  <c r="F433" i="3" s="1"/>
  <c r="G433" i="3"/>
  <c r="N432" i="3"/>
  <c r="L432" i="3"/>
  <c r="I432" i="3"/>
  <c r="H432" i="3"/>
  <c r="G432" i="3"/>
  <c r="F432" i="3"/>
  <c r="N431" i="3"/>
  <c r="L431" i="3"/>
  <c r="I431" i="3"/>
  <c r="H431" i="3"/>
  <c r="F431" i="3" s="1"/>
  <c r="G431" i="3"/>
  <c r="N430" i="3"/>
  <c r="L430" i="3"/>
  <c r="I430" i="3"/>
  <c r="H430" i="3"/>
  <c r="G430" i="3"/>
  <c r="F430" i="3"/>
  <c r="N429" i="3"/>
  <c r="L429" i="3"/>
  <c r="I429" i="3"/>
  <c r="H429" i="3"/>
  <c r="F429" i="3" s="1"/>
  <c r="G429" i="3"/>
  <c r="N428" i="3"/>
  <c r="L428" i="3"/>
  <c r="I428" i="3"/>
  <c r="H428" i="3"/>
  <c r="G428" i="3"/>
  <c r="F428" i="3"/>
  <c r="N427" i="3"/>
  <c r="L427" i="3"/>
  <c r="I427" i="3"/>
  <c r="H427" i="3"/>
  <c r="F427" i="3" s="1"/>
  <c r="G427" i="3"/>
  <c r="N426" i="3"/>
  <c r="L426" i="3"/>
  <c r="I426" i="3"/>
  <c r="H426" i="3"/>
  <c r="G426" i="3"/>
  <c r="F426" i="3"/>
  <c r="N425" i="3"/>
  <c r="L425" i="3"/>
  <c r="I425" i="3"/>
  <c r="H425" i="3"/>
  <c r="F425" i="3" s="1"/>
  <c r="G425" i="3"/>
  <c r="N424" i="3"/>
  <c r="L424" i="3"/>
  <c r="I424" i="3"/>
  <c r="H424" i="3"/>
  <c r="G424" i="3"/>
  <c r="F424" i="3"/>
  <c r="N423" i="3"/>
  <c r="L423" i="3"/>
  <c r="I423" i="3"/>
  <c r="H423" i="3"/>
  <c r="F423" i="3" s="1"/>
  <c r="G423" i="3"/>
  <c r="N422" i="3"/>
  <c r="L422" i="3"/>
  <c r="I422" i="3"/>
  <c r="H422" i="3"/>
  <c r="G422" i="3"/>
  <c r="F422" i="3"/>
  <c r="N421" i="3"/>
  <c r="L421" i="3"/>
  <c r="I421" i="3"/>
  <c r="H421" i="3"/>
  <c r="F421" i="3" s="1"/>
  <c r="G421" i="3"/>
  <c r="N420" i="3"/>
  <c r="L420" i="3"/>
  <c r="I420" i="3"/>
  <c r="H420" i="3"/>
  <c r="G420" i="3"/>
  <c r="F420" i="3"/>
  <c r="N419" i="3"/>
  <c r="L419" i="3"/>
  <c r="I419" i="3"/>
  <c r="H419" i="3"/>
  <c r="F419" i="3" s="1"/>
  <c r="G419" i="3"/>
  <c r="N418" i="3"/>
  <c r="L418" i="3"/>
  <c r="I418" i="3"/>
  <c r="H418" i="3"/>
  <c r="G418" i="3"/>
  <c r="F418" i="3"/>
  <c r="N417" i="3"/>
  <c r="L417" i="3"/>
  <c r="I417" i="3"/>
  <c r="H417" i="3"/>
  <c r="F417" i="3" s="1"/>
  <c r="G417" i="3"/>
  <c r="N416" i="3"/>
  <c r="L416" i="3"/>
  <c r="I416" i="3"/>
  <c r="H416" i="3"/>
  <c r="G416" i="3"/>
  <c r="F416" i="3"/>
  <c r="N415" i="3"/>
  <c r="L415" i="3"/>
  <c r="I415" i="3"/>
  <c r="H415" i="3"/>
  <c r="F415" i="3" s="1"/>
  <c r="G415" i="3"/>
  <c r="C415" i="3"/>
  <c r="N414" i="3"/>
  <c r="L414" i="3"/>
  <c r="I414" i="3"/>
  <c r="H414" i="3"/>
  <c r="F414" i="3" s="1"/>
  <c r="G414" i="3"/>
  <c r="N413" i="3"/>
  <c r="L413" i="3"/>
  <c r="I413" i="3"/>
  <c r="H413" i="3"/>
  <c r="G413" i="3"/>
  <c r="F413" i="3"/>
  <c r="N412" i="3"/>
  <c r="L412" i="3"/>
  <c r="I412" i="3"/>
  <c r="H412" i="3"/>
  <c r="F412" i="3" s="1"/>
  <c r="G412" i="3"/>
  <c r="C412" i="3"/>
  <c r="N411" i="3"/>
  <c r="L411" i="3"/>
  <c r="I411" i="3"/>
  <c r="H411" i="3"/>
  <c r="G411" i="3"/>
  <c r="F411" i="3"/>
  <c r="N410" i="3"/>
  <c r="L410" i="3"/>
  <c r="I410" i="3"/>
  <c r="H410" i="3"/>
  <c r="F410" i="3" s="1"/>
  <c r="G410" i="3"/>
  <c r="N409" i="3"/>
  <c r="L409" i="3"/>
  <c r="I409" i="3"/>
  <c r="H409" i="3"/>
  <c r="G409" i="3"/>
  <c r="F409" i="3"/>
  <c r="N408" i="3"/>
  <c r="L408" i="3"/>
  <c r="I408" i="3"/>
  <c r="H408" i="3"/>
  <c r="F408" i="3" s="1"/>
  <c r="G408" i="3"/>
  <c r="N407" i="3"/>
  <c r="L407" i="3"/>
  <c r="I407" i="3"/>
  <c r="H407" i="3"/>
  <c r="G407" i="3"/>
  <c r="F407" i="3"/>
  <c r="N406" i="3"/>
  <c r="L406" i="3"/>
  <c r="I406" i="3"/>
  <c r="H406" i="3"/>
  <c r="F406" i="3" s="1"/>
  <c r="G406" i="3"/>
  <c r="N405" i="3"/>
  <c r="L405" i="3"/>
  <c r="I405" i="3"/>
  <c r="H405" i="3"/>
  <c r="G405" i="3"/>
  <c r="F405" i="3"/>
  <c r="C405" i="3"/>
  <c r="N404" i="3"/>
  <c r="L404" i="3"/>
  <c r="I404" i="3"/>
  <c r="H404" i="3"/>
  <c r="G404" i="3"/>
  <c r="F404" i="3"/>
  <c r="N403" i="3"/>
  <c r="L403" i="3"/>
  <c r="I403" i="3"/>
  <c r="H403" i="3"/>
  <c r="F403" i="3" s="1"/>
  <c r="G403" i="3"/>
  <c r="N402" i="3"/>
  <c r="L402" i="3"/>
  <c r="I402" i="3"/>
  <c r="H402" i="3"/>
  <c r="G402" i="3"/>
  <c r="F402" i="3"/>
  <c r="C402" i="3"/>
  <c r="N401" i="3"/>
  <c r="L401" i="3"/>
  <c r="I401" i="3"/>
  <c r="H401" i="3"/>
  <c r="F401" i="3" s="1"/>
  <c r="G401" i="3"/>
  <c r="N400" i="3"/>
  <c r="L400" i="3"/>
  <c r="I400" i="3"/>
  <c r="H400" i="3"/>
  <c r="G400" i="3"/>
  <c r="F400" i="3"/>
  <c r="N399" i="3"/>
  <c r="L399" i="3"/>
  <c r="I399" i="3"/>
  <c r="H399" i="3"/>
  <c r="F399" i="3" s="1"/>
  <c r="G399" i="3"/>
  <c r="N398" i="3"/>
  <c r="L398" i="3"/>
  <c r="I398" i="3"/>
  <c r="H398" i="3"/>
  <c r="G398" i="3"/>
  <c r="F398" i="3"/>
  <c r="N397" i="3"/>
  <c r="L397" i="3"/>
  <c r="I397" i="3"/>
  <c r="H397" i="3"/>
  <c r="F397" i="3" s="1"/>
  <c r="G397" i="3"/>
  <c r="N396" i="3"/>
  <c r="L396" i="3"/>
  <c r="I396" i="3"/>
  <c r="H396" i="3"/>
  <c r="G396" i="3"/>
  <c r="F396" i="3"/>
  <c r="N395" i="3"/>
  <c r="L395" i="3"/>
  <c r="I395" i="3"/>
  <c r="H395" i="3"/>
  <c r="F395" i="3" s="1"/>
  <c r="G395" i="3"/>
  <c r="N394" i="3"/>
  <c r="L394" i="3"/>
  <c r="I394" i="3"/>
  <c r="H394" i="3"/>
  <c r="G394" i="3"/>
  <c r="F394" i="3"/>
  <c r="N393" i="3"/>
  <c r="L393" i="3"/>
  <c r="I393" i="3"/>
  <c r="H393" i="3"/>
  <c r="F393" i="3" s="1"/>
  <c r="G393" i="3"/>
  <c r="N392" i="3"/>
  <c r="L392" i="3"/>
  <c r="I392" i="3"/>
  <c r="H392" i="3"/>
  <c r="G392" i="3"/>
  <c r="F392" i="3"/>
  <c r="N391" i="3"/>
  <c r="L391" i="3"/>
  <c r="I391" i="3"/>
  <c r="H391" i="3"/>
  <c r="F391" i="3" s="1"/>
  <c r="G391" i="3"/>
  <c r="N390" i="3"/>
  <c r="L390" i="3"/>
  <c r="I390" i="3"/>
  <c r="H390" i="3"/>
  <c r="G390" i="3"/>
  <c r="F390" i="3"/>
  <c r="C390" i="3"/>
  <c r="N389" i="3"/>
  <c r="L389" i="3"/>
  <c r="I389" i="3"/>
  <c r="H389" i="3"/>
  <c r="F389" i="3" s="1"/>
  <c r="G389" i="3"/>
  <c r="N388" i="3"/>
  <c r="L388" i="3"/>
  <c r="I388" i="3"/>
  <c r="H388" i="3"/>
  <c r="G388" i="3"/>
  <c r="F388" i="3"/>
  <c r="N387" i="3"/>
  <c r="L387" i="3"/>
  <c r="I387" i="3"/>
  <c r="H387" i="3"/>
  <c r="F387" i="3" s="1"/>
  <c r="G387" i="3"/>
  <c r="N386" i="3"/>
  <c r="L386" i="3"/>
  <c r="I386" i="3"/>
  <c r="H386" i="3"/>
  <c r="G386" i="3"/>
  <c r="F386" i="3"/>
  <c r="N385" i="3"/>
  <c r="L385" i="3"/>
  <c r="I385" i="3"/>
  <c r="H385" i="3"/>
  <c r="F385" i="3" s="1"/>
  <c r="G385" i="3"/>
  <c r="N384" i="3"/>
  <c r="L384" i="3"/>
  <c r="I384" i="3"/>
  <c r="H384" i="3"/>
  <c r="G384" i="3"/>
  <c r="F384" i="3"/>
  <c r="N383" i="3"/>
  <c r="I383" i="3"/>
  <c r="H383" i="3"/>
  <c r="F383" i="3" s="1"/>
  <c r="G383" i="3"/>
  <c r="N382" i="3"/>
  <c r="I382" i="3"/>
  <c r="H382" i="3"/>
  <c r="F382" i="3" s="1"/>
  <c r="G382" i="3"/>
  <c r="N381" i="3"/>
  <c r="I381" i="3"/>
  <c r="H381" i="3"/>
  <c r="G381" i="3"/>
  <c r="F381" i="3"/>
  <c r="N380" i="3"/>
  <c r="I380" i="3"/>
  <c r="H380" i="3"/>
  <c r="G380" i="3"/>
  <c r="F380" i="3"/>
  <c r="N379" i="3"/>
  <c r="I379" i="3"/>
  <c r="H379" i="3"/>
  <c r="F379" i="3" s="1"/>
  <c r="G379" i="3"/>
  <c r="N378" i="3"/>
  <c r="I378" i="3"/>
  <c r="H378" i="3"/>
  <c r="G378" i="3"/>
  <c r="F378" i="3"/>
  <c r="N377" i="3"/>
  <c r="I377" i="3"/>
  <c r="H377" i="3"/>
  <c r="G377" i="3"/>
  <c r="F377" i="3"/>
  <c r="N376" i="3"/>
  <c r="I376" i="3"/>
  <c r="H376" i="3"/>
  <c r="G376" i="3"/>
  <c r="F376" i="3"/>
  <c r="N375" i="3"/>
  <c r="I375" i="3"/>
  <c r="H375" i="3"/>
  <c r="F375" i="3" s="1"/>
  <c r="G375" i="3"/>
  <c r="N374" i="3"/>
  <c r="I374" i="3"/>
  <c r="H374" i="3"/>
  <c r="G374" i="3"/>
  <c r="F374" i="3"/>
  <c r="N373" i="3"/>
  <c r="I373" i="3"/>
  <c r="H373" i="3"/>
  <c r="G373" i="3"/>
  <c r="F373" i="3"/>
  <c r="N372" i="3"/>
  <c r="I372" i="3"/>
  <c r="H372" i="3"/>
  <c r="F372" i="3" s="1"/>
  <c r="G372" i="3"/>
  <c r="N371" i="3"/>
  <c r="I371" i="3"/>
  <c r="H371" i="3"/>
  <c r="F371" i="3" s="1"/>
  <c r="G371" i="3"/>
  <c r="N370" i="3"/>
  <c r="I370" i="3"/>
  <c r="H370" i="3"/>
  <c r="G370" i="3"/>
  <c r="F370" i="3"/>
  <c r="N369" i="3"/>
  <c r="I369" i="3"/>
  <c r="H369" i="3"/>
  <c r="G369" i="3"/>
  <c r="F369" i="3"/>
  <c r="N368" i="3"/>
  <c r="I368" i="3"/>
  <c r="H368" i="3"/>
  <c r="G368" i="3"/>
  <c r="F368" i="3"/>
  <c r="N367" i="3"/>
  <c r="I367" i="3"/>
  <c r="H367" i="3"/>
  <c r="F367" i="3" s="1"/>
  <c r="G367" i="3"/>
  <c r="N366" i="3"/>
  <c r="I366" i="3"/>
  <c r="H366" i="3"/>
  <c r="F366" i="3" s="1"/>
  <c r="G366" i="3"/>
  <c r="N365" i="3"/>
  <c r="I365" i="3"/>
  <c r="H365" i="3"/>
  <c r="G365" i="3"/>
  <c r="F365" i="3"/>
  <c r="N364" i="3"/>
  <c r="I364" i="3"/>
  <c r="H364" i="3"/>
  <c r="G364" i="3"/>
  <c r="F364" i="3"/>
  <c r="N363" i="3"/>
  <c r="I363" i="3"/>
  <c r="H363" i="3"/>
  <c r="F363" i="3" s="1"/>
  <c r="G363" i="3"/>
  <c r="N362" i="3"/>
  <c r="I362" i="3"/>
  <c r="H362" i="3"/>
  <c r="F362" i="3" s="1"/>
  <c r="G362" i="3"/>
  <c r="N361" i="3"/>
  <c r="I361" i="3"/>
  <c r="H361" i="3"/>
  <c r="G361" i="3"/>
  <c r="F361" i="3"/>
  <c r="N360" i="3"/>
  <c r="I360" i="3"/>
  <c r="H360" i="3"/>
  <c r="G360" i="3"/>
  <c r="F360" i="3"/>
  <c r="N359" i="3"/>
  <c r="I359" i="3"/>
  <c r="H359" i="3"/>
  <c r="F359" i="3" s="1"/>
  <c r="G359" i="3"/>
  <c r="N358" i="3"/>
  <c r="I358" i="3"/>
  <c r="H358" i="3"/>
  <c r="G358" i="3"/>
  <c r="F358" i="3"/>
  <c r="N357" i="3"/>
  <c r="I357" i="3"/>
  <c r="H357" i="3"/>
  <c r="G357" i="3"/>
  <c r="F357" i="3"/>
  <c r="N356" i="3"/>
  <c r="I356" i="3"/>
  <c r="H356" i="3"/>
  <c r="F356" i="3" s="1"/>
  <c r="G356" i="3"/>
  <c r="N355" i="3"/>
  <c r="I355" i="3"/>
  <c r="H355" i="3"/>
  <c r="F355" i="3" s="1"/>
  <c r="G355" i="3"/>
  <c r="N354" i="3"/>
  <c r="I354" i="3"/>
  <c r="H354" i="3"/>
  <c r="G354" i="3"/>
  <c r="F354" i="3"/>
  <c r="N353" i="3"/>
  <c r="I353" i="3"/>
  <c r="H353" i="3"/>
  <c r="G353" i="3"/>
  <c r="F353" i="3"/>
  <c r="N352" i="3"/>
  <c r="I352" i="3"/>
  <c r="H352" i="3"/>
  <c r="G352" i="3"/>
  <c r="F352" i="3"/>
  <c r="N351" i="3"/>
  <c r="I351" i="3"/>
  <c r="H351" i="3"/>
  <c r="N350" i="3"/>
  <c r="I350" i="3"/>
  <c r="H350" i="3"/>
  <c r="G350" i="3"/>
  <c r="F350" i="3"/>
  <c r="N349" i="3"/>
  <c r="I349" i="3"/>
  <c r="H349" i="3"/>
  <c r="F349" i="3" s="1"/>
  <c r="G349" i="3"/>
  <c r="N348" i="3"/>
  <c r="I348" i="3"/>
  <c r="H348" i="3"/>
  <c r="F348" i="3" s="1"/>
  <c r="G348" i="3"/>
  <c r="N347" i="3"/>
  <c r="I347" i="3"/>
  <c r="H347" i="3"/>
  <c r="G347" i="3"/>
  <c r="F347" i="3"/>
  <c r="N346" i="3"/>
  <c r="I346" i="3"/>
  <c r="H346" i="3"/>
  <c r="G346" i="3"/>
  <c r="F346" i="3"/>
  <c r="N345" i="3"/>
  <c r="I345" i="3"/>
  <c r="H345" i="3"/>
  <c r="F345" i="3" s="1"/>
  <c r="G345" i="3"/>
  <c r="N344" i="3"/>
  <c r="I344" i="3"/>
  <c r="H344" i="3"/>
  <c r="G344" i="3"/>
  <c r="F344" i="3"/>
  <c r="N343" i="3"/>
  <c r="I343" i="3"/>
  <c r="H343" i="3"/>
  <c r="G343" i="3"/>
  <c r="F343" i="3"/>
  <c r="N342" i="3"/>
  <c r="I342" i="3"/>
  <c r="H342" i="3"/>
  <c r="G342" i="3"/>
  <c r="F342" i="3"/>
  <c r="N341" i="3"/>
  <c r="I341" i="3"/>
  <c r="H341" i="3"/>
  <c r="F341" i="3" s="1"/>
  <c r="G341" i="3"/>
  <c r="N340" i="3"/>
  <c r="I340" i="3"/>
  <c r="H340" i="3"/>
  <c r="G340" i="3"/>
  <c r="F340" i="3"/>
  <c r="N339" i="3"/>
  <c r="I339" i="3"/>
  <c r="H339" i="3"/>
  <c r="G339" i="3"/>
  <c r="F339" i="3"/>
  <c r="N338" i="3"/>
  <c r="I338" i="3"/>
  <c r="H338" i="3"/>
  <c r="F338" i="3" s="1"/>
  <c r="G338" i="3"/>
  <c r="N337" i="3"/>
  <c r="I337" i="3"/>
  <c r="H337" i="3"/>
  <c r="F337" i="3" s="1"/>
  <c r="G337" i="3"/>
  <c r="I336" i="3"/>
  <c r="H336" i="3"/>
  <c r="F336" i="3" s="1"/>
  <c r="G336" i="3"/>
  <c r="N335" i="3"/>
  <c r="I335" i="3"/>
  <c r="H335" i="3"/>
  <c r="F335" i="3" s="1"/>
  <c r="G335" i="3"/>
  <c r="N334" i="3"/>
  <c r="I334" i="3"/>
  <c r="H334" i="3"/>
  <c r="G334" i="3"/>
  <c r="F334" i="3"/>
  <c r="N333" i="3"/>
  <c r="I333" i="3"/>
  <c r="H333" i="3"/>
  <c r="G333" i="3"/>
  <c r="F333" i="3"/>
  <c r="N332" i="3"/>
  <c r="I332" i="3"/>
  <c r="H332" i="3"/>
  <c r="F332" i="3" s="1"/>
  <c r="G332" i="3"/>
  <c r="N331" i="3"/>
  <c r="I331" i="3"/>
  <c r="H331" i="3"/>
  <c r="G331" i="3"/>
  <c r="F331" i="3"/>
  <c r="N330" i="3"/>
  <c r="I330" i="3"/>
  <c r="H330" i="3"/>
  <c r="G330" i="3"/>
  <c r="F330" i="3"/>
  <c r="N329" i="3"/>
  <c r="I329" i="3"/>
  <c r="H329" i="3"/>
  <c r="F329" i="3" s="1"/>
  <c r="G329" i="3"/>
  <c r="N328" i="3"/>
  <c r="I328" i="3"/>
  <c r="H328" i="3"/>
  <c r="F328" i="3" s="1"/>
  <c r="G328" i="3"/>
  <c r="N327" i="3"/>
  <c r="I327" i="3"/>
  <c r="H327" i="3"/>
  <c r="G327" i="3"/>
  <c r="F327" i="3"/>
  <c r="N326" i="3"/>
  <c r="I326" i="3"/>
  <c r="H326" i="3"/>
  <c r="G326" i="3"/>
  <c r="F326" i="3"/>
  <c r="N325" i="3"/>
  <c r="I325" i="3"/>
  <c r="H325" i="3"/>
  <c r="F325" i="3" s="1"/>
  <c r="G325" i="3"/>
  <c r="N324" i="3"/>
  <c r="I324" i="3"/>
  <c r="H324" i="3"/>
  <c r="F324" i="3" s="1"/>
  <c r="G324" i="3"/>
  <c r="N323" i="3"/>
  <c r="I323" i="3"/>
  <c r="H323" i="3"/>
  <c r="F323" i="3" s="1"/>
  <c r="G323" i="3"/>
  <c r="N322" i="3"/>
  <c r="I322" i="3"/>
  <c r="H322" i="3"/>
  <c r="G322" i="3"/>
  <c r="F322" i="3"/>
  <c r="N321" i="3"/>
  <c r="I321" i="3"/>
  <c r="H321" i="3"/>
  <c r="G321" i="3"/>
  <c r="F321" i="3"/>
  <c r="N320" i="3"/>
  <c r="I320" i="3"/>
  <c r="H320" i="3"/>
  <c r="F320" i="3" s="1"/>
  <c r="G320" i="3"/>
  <c r="N319" i="3"/>
  <c r="I319" i="3"/>
  <c r="H319" i="3"/>
  <c r="F319" i="3" s="1"/>
  <c r="G319" i="3"/>
  <c r="N318" i="3"/>
  <c r="I318" i="3"/>
  <c r="H318" i="3"/>
  <c r="G318" i="3"/>
  <c r="F318" i="3"/>
  <c r="C318" i="3"/>
  <c r="I317" i="3"/>
  <c r="H317" i="3"/>
  <c r="G317" i="3"/>
  <c r="F317" i="3"/>
  <c r="N316" i="3"/>
  <c r="I316" i="3"/>
  <c r="H316" i="3"/>
  <c r="F316" i="3" s="1"/>
  <c r="G316" i="3"/>
  <c r="N315" i="3"/>
  <c r="I315" i="3"/>
  <c r="H315" i="3"/>
  <c r="G315" i="3"/>
  <c r="F315" i="3"/>
  <c r="N314" i="3"/>
  <c r="I314" i="3"/>
  <c r="H314" i="3"/>
  <c r="G314" i="3"/>
  <c r="F314" i="3"/>
  <c r="N313" i="3"/>
  <c r="I313" i="3"/>
  <c r="H313" i="3"/>
  <c r="F313" i="3" s="1"/>
  <c r="G313" i="3"/>
  <c r="N312" i="3"/>
  <c r="I312" i="3"/>
  <c r="H312" i="3"/>
  <c r="F312" i="3" s="1"/>
  <c r="G312" i="3"/>
  <c r="N311" i="3"/>
  <c r="I311" i="3"/>
  <c r="H311" i="3"/>
  <c r="G311" i="3"/>
  <c r="F311" i="3"/>
  <c r="N310" i="3"/>
  <c r="I310" i="3"/>
  <c r="H310" i="3"/>
  <c r="G310" i="3"/>
  <c r="F310" i="3"/>
  <c r="N309" i="3"/>
  <c r="I309" i="3"/>
  <c r="H309" i="3"/>
  <c r="F309" i="3" s="1"/>
  <c r="G309" i="3"/>
  <c r="N308" i="3"/>
  <c r="I308" i="3"/>
  <c r="H308" i="3"/>
  <c r="F308" i="3" s="1"/>
  <c r="G308" i="3"/>
  <c r="N307" i="3"/>
  <c r="I307" i="3"/>
  <c r="H307" i="3"/>
  <c r="F307" i="3" s="1"/>
  <c r="G307" i="3"/>
  <c r="N306" i="3"/>
  <c r="I306" i="3"/>
  <c r="H306" i="3"/>
  <c r="G306" i="3"/>
  <c r="F306" i="3"/>
  <c r="N305" i="3"/>
  <c r="I305" i="3"/>
  <c r="H305" i="3"/>
  <c r="G305" i="3"/>
  <c r="F305" i="3"/>
  <c r="N304" i="3"/>
  <c r="I304" i="3"/>
  <c r="H304" i="3"/>
  <c r="F304" i="3" s="1"/>
  <c r="G304" i="3"/>
  <c r="N303" i="3"/>
  <c r="I303" i="3"/>
  <c r="H303" i="3"/>
  <c r="F303" i="3" s="1"/>
  <c r="G303" i="3"/>
  <c r="N302" i="3"/>
  <c r="I302" i="3"/>
  <c r="H302" i="3"/>
  <c r="G302" i="3"/>
  <c r="F302" i="3"/>
  <c r="N301" i="3"/>
  <c r="I301" i="3"/>
  <c r="H301" i="3"/>
  <c r="G301" i="3"/>
  <c r="F301" i="3"/>
  <c r="N300" i="3"/>
  <c r="I300" i="3"/>
  <c r="H300" i="3"/>
  <c r="F300" i="3" s="1"/>
  <c r="G300" i="3"/>
  <c r="C300" i="3"/>
  <c r="N299" i="3"/>
  <c r="I299" i="3"/>
  <c r="H299" i="3"/>
  <c r="G299" i="3"/>
  <c r="F299" i="3"/>
  <c r="N298" i="3"/>
  <c r="I298" i="3"/>
  <c r="H298" i="3"/>
  <c r="G298" i="3"/>
  <c r="F298" i="3"/>
  <c r="N297" i="3"/>
  <c r="I297" i="3"/>
  <c r="H297" i="3"/>
  <c r="F297" i="3" s="1"/>
  <c r="G297" i="3"/>
  <c r="N296" i="3"/>
  <c r="I296" i="3"/>
  <c r="H296" i="3"/>
  <c r="G296" i="3"/>
  <c r="F296" i="3"/>
  <c r="N295" i="3"/>
  <c r="I295" i="3"/>
  <c r="H295" i="3"/>
  <c r="G295" i="3"/>
  <c r="F295" i="3"/>
  <c r="N294" i="3"/>
  <c r="I294" i="3"/>
  <c r="H294" i="3"/>
  <c r="F294" i="3" s="1"/>
  <c r="G294" i="3"/>
  <c r="N293" i="3"/>
  <c r="I293" i="3"/>
  <c r="H293" i="3"/>
  <c r="F293" i="3" s="1"/>
  <c r="G293" i="3"/>
  <c r="N292" i="3"/>
  <c r="I292" i="3"/>
  <c r="H292" i="3"/>
  <c r="G292" i="3"/>
  <c r="F292" i="3"/>
  <c r="N291" i="3"/>
  <c r="I291" i="3"/>
  <c r="H291" i="3"/>
  <c r="G291" i="3"/>
  <c r="F291" i="3"/>
  <c r="N290" i="3"/>
  <c r="I290" i="3"/>
  <c r="H290" i="3"/>
  <c r="G290" i="3"/>
  <c r="F290" i="3"/>
  <c r="N289" i="3"/>
  <c r="I289" i="3"/>
  <c r="H289" i="3"/>
  <c r="F289" i="3" s="1"/>
  <c r="G289" i="3"/>
  <c r="N288" i="3"/>
  <c r="I288" i="3"/>
  <c r="H288" i="3"/>
  <c r="F288" i="3" s="1"/>
  <c r="G288" i="3"/>
  <c r="N287" i="3"/>
  <c r="I287" i="3"/>
  <c r="H287" i="3"/>
  <c r="G287" i="3"/>
  <c r="F287" i="3"/>
  <c r="N286" i="3"/>
  <c r="I286" i="3"/>
  <c r="H286" i="3"/>
  <c r="G286" i="3"/>
  <c r="F286" i="3"/>
  <c r="N285" i="3"/>
  <c r="I285" i="3"/>
  <c r="H285" i="3"/>
  <c r="F285" i="3" s="1"/>
  <c r="G285" i="3"/>
  <c r="N284" i="3"/>
  <c r="I284" i="3"/>
  <c r="H284" i="3"/>
  <c r="G284" i="3"/>
  <c r="F284" i="3"/>
  <c r="N283" i="3"/>
  <c r="I283" i="3"/>
  <c r="H283" i="3"/>
  <c r="G283" i="3"/>
  <c r="F283" i="3"/>
  <c r="N282" i="3"/>
  <c r="I282" i="3"/>
  <c r="H282" i="3"/>
  <c r="G282" i="3"/>
  <c r="F282" i="3"/>
  <c r="N281" i="3"/>
  <c r="I281" i="3"/>
  <c r="H281" i="3"/>
  <c r="F281" i="3" s="1"/>
  <c r="G281" i="3"/>
  <c r="N280" i="3"/>
  <c r="I280" i="3"/>
  <c r="H280" i="3"/>
  <c r="G280" i="3"/>
  <c r="F280" i="3"/>
  <c r="N279" i="3"/>
  <c r="I279" i="3"/>
  <c r="H279" i="3"/>
  <c r="G279" i="3"/>
  <c r="F279" i="3"/>
  <c r="N278" i="3"/>
  <c r="I278" i="3"/>
  <c r="H278" i="3"/>
  <c r="F278" i="3" s="1"/>
  <c r="G278" i="3"/>
  <c r="N277" i="3"/>
  <c r="I277" i="3"/>
  <c r="H277" i="3"/>
  <c r="F277" i="3" s="1"/>
  <c r="G277" i="3"/>
  <c r="N276" i="3"/>
  <c r="I276" i="3"/>
  <c r="H276" i="3"/>
  <c r="G276" i="3"/>
  <c r="F276" i="3"/>
  <c r="N275" i="3"/>
  <c r="I275" i="3"/>
  <c r="H275" i="3"/>
  <c r="G275" i="3"/>
  <c r="F275" i="3"/>
  <c r="N274" i="3"/>
  <c r="I274" i="3"/>
  <c r="H274" i="3"/>
  <c r="G274" i="3"/>
  <c r="F274" i="3"/>
  <c r="N273" i="3"/>
  <c r="I273" i="3"/>
  <c r="H273" i="3"/>
  <c r="F273" i="3" s="1"/>
  <c r="G273" i="3"/>
  <c r="N272" i="3"/>
  <c r="I272" i="3"/>
  <c r="H272" i="3"/>
  <c r="F272" i="3" s="1"/>
  <c r="G272" i="3"/>
  <c r="N271" i="3"/>
  <c r="I271" i="3"/>
  <c r="H271" i="3"/>
  <c r="G271" i="3"/>
  <c r="F271" i="3"/>
  <c r="N270" i="3"/>
  <c r="I270" i="3"/>
  <c r="H270" i="3"/>
  <c r="G270" i="3"/>
  <c r="F270" i="3"/>
  <c r="N269" i="3"/>
  <c r="I269" i="3"/>
  <c r="H269" i="3"/>
  <c r="F269" i="3" s="1"/>
  <c r="G269" i="3"/>
  <c r="N268" i="3"/>
  <c r="I268" i="3"/>
  <c r="H268" i="3"/>
  <c r="F268" i="3" s="1"/>
  <c r="G268" i="3"/>
  <c r="N267" i="3"/>
  <c r="I267" i="3"/>
  <c r="H267" i="3"/>
  <c r="G267" i="3"/>
  <c r="F267" i="3"/>
  <c r="N266" i="3"/>
  <c r="I266" i="3"/>
  <c r="H266" i="3"/>
  <c r="G266" i="3"/>
  <c r="F266" i="3"/>
  <c r="C266" i="3"/>
  <c r="I265" i="3"/>
  <c r="H265" i="3"/>
  <c r="F265" i="3" s="1"/>
  <c r="G265" i="3"/>
  <c r="I264" i="3"/>
  <c r="H264" i="3"/>
  <c r="F264" i="3" s="1"/>
  <c r="G264" i="3"/>
  <c r="I263" i="3"/>
  <c r="H263" i="3"/>
  <c r="F263" i="3" s="1"/>
  <c r="G263" i="3"/>
  <c r="N262" i="3"/>
  <c r="I262" i="3"/>
  <c r="H262" i="3"/>
  <c r="F262" i="3" s="1"/>
  <c r="G262" i="3"/>
  <c r="N261" i="3"/>
  <c r="I261" i="3"/>
  <c r="H261" i="3"/>
  <c r="G261" i="3"/>
  <c r="F261" i="3"/>
  <c r="N260" i="3"/>
  <c r="I260" i="3"/>
  <c r="H260" i="3"/>
  <c r="G260" i="3"/>
  <c r="F260" i="3"/>
  <c r="N259" i="3"/>
  <c r="I259" i="3"/>
  <c r="H259" i="3"/>
  <c r="F259" i="3" s="1"/>
  <c r="G259" i="3"/>
  <c r="N258" i="3"/>
  <c r="I258" i="3"/>
  <c r="H258" i="3"/>
  <c r="F258" i="3" s="1"/>
  <c r="G258" i="3"/>
  <c r="N257" i="3"/>
  <c r="I257" i="3"/>
  <c r="H257" i="3"/>
  <c r="G257" i="3"/>
  <c r="F257" i="3"/>
  <c r="N256" i="3"/>
  <c r="I256" i="3"/>
  <c r="H256" i="3"/>
  <c r="G256" i="3"/>
  <c r="F256" i="3"/>
  <c r="N255" i="3"/>
  <c r="I255" i="3"/>
  <c r="H255" i="3"/>
  <c r="F255" i="3" s="1"/>
  <c r="G255" i="3"/>
  <c r="N254" i="3"/>
  <c r="I254" i="3"/>
  <c r="H254" i="3"/>
  <c r="G254" i="3"/>
  <c r="F254" i="3"/>
  <c r="N253" i="3"/>
  <c r="I253" i="3"/>
  <c r="H253" i="3"/>
  <c r="G253" i="3"/>
  <c r="F253" i="3"/>
  <c r="N252" i="3"/>
  <c r="I252" i="3"/>
  <c r="H252" i="3"/>
  <c r="F252" i="3" s="1"/>
  <c r="G252" i="3"/>
  <c r="N251" i="3"/>
  <c r="I251" i="3"/>
  <c r="H251" i="3"/>
  <c r="F251" i="3" s="1"/>
  <c r="G251" i="3"/>
  <c r="N250" i="3"/>
  <c r="I250" i="3"/>
  <c r="H250" i="3"/>
  <c r="G250" i="3"/>
  <c r="F250" i="3"/>
  <c r="N249" i="3"/>
  <c r="I249" i="3"/>
  <c r="H249" i="3"/>
  <c r="G249" i="3"/>
  <c r="F249" i="3"/>
  <c r="N248" i="3"/>
  <c r="I248" i="3"/>
  <c r="H248" i="3"/>
  <c r="F248" i="3" s="1"/>
  <c r="G248" i="3"/>
  <c r="N247" i="3"/>
  <c r="I247" i="3"/>
  <c r="H247" i="3"/>
  <c r="F247" i="3" s="1"/>
  <c r="G247" i="3"/>
  <c r="N246" i="3"/>
  <c r="I246" i="3"/>
  <c r="H246" i="3"/>
  <c r="F246" i="3" s="1"/>
  <c r="G246" i="3"/>
  <c r="N245" i="3"/>
  <c r="I245" i="3"/>
  <c r="H245" i="3"/>
  <c r="G245" i="3"/>
  <c r="F245" i="3"/>
  <c r="N244" i="3"/>
  <c r="I244" i="3"/>
  <c r="H244" i="3"/>
  <c r="G244" i="3"/>
  <c r="F244" i="3"/>
  <c r="N243" i="3"/>
  <c r="I243" i="3"/>
  <c r="H243" i="3"/>
  <c r="F243" i="3" s="1"/>
  <c r="G243" i="3"/>
  <c r="N242" i="3"/>
  <c r="I242" i="3"/>
  <c r="H242" i="3"/>
  <c r="F242" i="3" s="1"/>
  <c r="G242" i="3"/>
  <c r="N241" i="3"/>
  <c r="I241" i="3"/>
  <c r="H241" i="3"/>
  <c r="G241" i="3"/>
  <c r="F241" i="3"/>
  <c r="N240" i="3"/>
  <c r="I240" i="3"/>
  <c r="H240" i="3"/>
  <c r="G240" i="3"/>
  <c r="F240" i="3"/>
  <c r="N239" i="3"/>
  <c r="I239" i="3"/>
  <c r="H239" i="3"/>
  <c r="F239" i="3" s="1"/>
  <c r="G239" i="3"/>
  <c r="N238" i="3"/>
  <c r="I238" i="3"/>
  <c r="H238" i="3"/>
  <c r="F238" i="3" s="1"/>
  <c r="G238" i="3"/>
  <c r="N237" i="3"/>
  <c r="I237" i="3"/>
  <c r="H237" i="3"/>
  <c r="G237" i="3"/>
  <c r="F237" i="3"/>
  <c r="N236" i="3"/>
  <c r="I236" i="3"/>
  <c r="H236" i="3"/>
  <c r="G236" i="3"/>
  <c r="F236" i="3"/>
  <c r="N235" i="3"/>
  <c r="I235" i="3"/>
  <c r="H235" i="3"/>
  <c r="F235" i="3" s="1"/>
  <c r="G235" i="3"/>
  <c r="N234" i="3"/>
  <c r="I234" i="3"/>
  <c r="H234" i="3"/>
  <c r="F234" i="3" s="1"/>
  <c r="G234" i="3"/>
  <c r="N233" i="3"/>
  <c r="I233" i="3"/>
  <c r="H233" i="3"/>
  <c r="G233" i="3"/>
  <c r="F233" i="3"/>
  <c r="N232" i="3"/>
  <c r="I232" i="3"/>
  <c r="H232" i="3"/>
  <c r="G232" i="3"/>
  <c r="F232" i="3"/>
  <c r="N231" i="3"/>
  <c r="I231" i="3"/>
  <c r="H231" i="3"/>
  <c r="F231" i="3" s="1"/>
  <c r="G231" i="3"/>
  <c r="N230" i="3"/>
  <c r="I230" i="3"/>
  <c r="H230" i="3"/>
  <c r="F230" i="3" s="1"/>
  <c r="G230" i="3"/>
  <c r="N229" i="3"/>
  <c r="I229" i="3"/>
  <c r="H229" i="3"/>
  <c r="G229" i="3"/>
  <c r="F229" i="3"/>
  <c r="N228" i="3"/>
  <c r="I228" i="3"/>
  <c r="H228" i="3"/>
  <c r="G228" i="3"/>
  <c r="F228" i="3"/>
  <c r="N227" i="3"/>
  <c r="I227" i="3"/>
  <c r="H227" i="3"/>
  <c r="F227" i="3" s="1"/>
  <c r="G227" i="3"/>
  <c r="N226" i="3"/>
  <c r="I226" i="3"/>
  <c r="H226" i="3"/>
  <c r="F226" i="3" s="1"/>
  <c r="G226" i="3"/>
  <c r="N225" i="3"/>
  <c r="I225" i="3"/>
  <c r="H225" i="3"/>
  <c r="G225" i="3"/>
  <c r="F225" i="3"/>
  <c r="N224" i="3"/>
  <c r="I224" i="3"/>
  <c r="H224" i="3"/>
  <c r="G224" i="3"/>
  <c r="F224" i="3"/>
  <c r="N223" i="3"/>
  <c r="I223" i="3"/>
  <c r="H223" i="3"/>
  <c r="F223" i="3" s="1"/>
  <c r="G223" i="3"/>
  <c r="N222" i="3"/>
  <c r="I222" i="3"/>
  <c r="H222" i="3"/>
  <c r="F222" i="3" s="1"/>
  <c r="G222" i="3"/>
  <c r="N221" i="3"/>
  <c r="I221" i="3"/>
  <c r="H221" i="3"/>
  <c r="G221" i="3"/>
  <c r="F221" i="3"/>
  <c r="N220" i="3"/>
  <c r="I220" i="3"/>
  <c r="H220" i="3"/>
  <c r="G220" i="3"/>
  <c r="F220" i="3"/>
  <c r="N219" i="3"/>
  <c r="L219" i="3"/>
  <c r="I219" i="3"/>
  <c r="H219" i="3"/>
  <c r="F219" i="3" s="1"/>
  <c r="G219" i="3"/>
  <c r="N218" i="3"/>
  <c r="L218" i="3"/>
  <c r="I218" i="3"/>
  <c r="H218" i="3"/>
  <c r="G218" i="3"/>
  <c r="F218" i="3"/>
  <c r="N217" i="3"/>
  <c r="L217" i="3"/>
  <c r="I217" i="3"/>
  <c r="H217" i="3"/>
  <c r="F217" i="3" s="1"/>
  <c r="G217" i="3"/>
  <c r="N216" i="3"/>
  <c r="L216" i="3"/>
  <c r="I216" i="3"/>
  <c r="H216" i="3"/>
  <c r="G216" i="3"/>
  <c r="F216" i="3"/>
  <c r="N215" i="3"/>
  <c r="L215" i="3"/>
  <c r="I215" i="3"/>
  <c r="H215" i="3"/>
  <c r="F215" i="3" s="1"/>
  <c r="G215" i="3"/>
  <c r="N214" i="3"/>
  <c r="L214" i="3"/>
  <c r="I214" i="3"/>
  <c r="H214" i="3"/>
  <c r="G214" i="3"/>
  <c r="F214" i="3"/>
  <c r="N213" i="3"/>
  <c r="L213" i="3"/>
  <c r="I213" i="3"/>
  <c r="H213" i="3"/>
  <c r="F213" i="3" s="1"/>
  <c r="G213" i="3"/>
  <c r="N212" i="3"/>
  <c r="L212" i="3"/>
  <c r="I212" i="3"/>
  <c r="H212" i="3"/>
  <c r="G212" i="3"/>
  <c r="F212" i="3"/>
  <c r="N211" i="3"/>
  <c r="L211" i="3"/>
  <c r="I211" i="3"/>
  <c r="H211" i="3"/>
  <c r="F211" i="3" s="1"/>
  <c r="G211" i="3"/>
  <c r="N210" i="3"/>
  <c r="L210" i="3"/>
  <c r="I210" i="3"/>
  <c r="H210" i="3"/>
  <c r="G210" i="3"/>
  <c r="F210" i="3"/>
  <c r="N209" i="3"/>
  <c r="L209" i="3"/>
  <c r="I209" i="3"/>
  <c r="H209" i="3"/>
  <c r="F209" i="3" s="1"/>
  <c r="G209" i="3"/>
  <c r="N208" i="3"/>
  <c r="L208" i="3"/>
  <c r="I208" i="3"/>
  <c r="H208" i="3"/>
  <c r="G208" i="3"/>
  <c r="F208" i="3"/>
  <c r="N207" i="3"/>
  <c r="L207" i="3"/>
  <c r="I207" i="3"/>
  <c r="H207" i="3"/>
  <c r="F207" i="3" s="1"/>
  <c r="G207" i="3"/>
  <c r="N206" i="3"/>
  <c r="L206" i="3"/>
  <c r="I206" i="3"/>
  <c r="H206" i="3"/>
  <c r="G206" i="3"/>
  <c r="F206" i="3"/>
  <c r="N205" i="3"/>
  <c r="L205" i="3"/>
  <c r="I205" i="3"/>
  <c r="H205" i="3"/>
  <c r="F205" i="3" s="1"/>
  <c r="G205" i="3"/>
  <c r="N204" i="3"/>
  <c r="L204" i="3"/>
  <c r="I204" i="3"/>
  <c r="H204" i="3"/>
  <c r="G204" i="3"/>
  <c r="F204" i="3"/>
  <c r="N203" i="3"/>
  <c r="L203" i="3"/>
  <c r="I203" i="3"/>
  <c r="H203" i="3"/>
  <c r="F203" i="3" s="1"/>
  <c r="G203" i="3"/>
  <c r="N202" i="3"/>
  <c r="L202" i="3"/>
  <c r="I202" i="3"/>
  <c r="H202" i="3"/>
  <c r="G202" i="3"/>
  <c r="F202" i="3"/>
  <c r="N201" i="3"/>
  <c r="L201" i="3"/>
  <c r="I201" i="3"/>
  <c r="H201" i="3"/>
  <c r="F201" i="3" s="1"/>
  <c r="G201" i="3"/>
  <c r="N200" i="3"/>
  <c r="L200" i="3"/>
  <c r="I200" i="3"/>
  <c r="H200" i="3"/>
  <c r="G200" i="3"/>
  <c r="F200" i="3"/>
  <c r="N199" i="3"/>
  <c r="L199" i="3"/>
  <c r="I199" i="3"/>
  <c r="H199" i="3"/>
  <c r="F199" i="3" s="1"/>
  <c r="G199" i="3"/>
  <c r="N198" i="3"/>
  <c r="L198" i="3"/>
  <c r="I198" i="3"/>
  <c r="H198" i="3"/>
  <c r="G198" i="3"/>
  <c r="F198" i="3"/>
  <c r="N197" i="3"/>
  <c r="L197" i="3"/>
  <c r="I197" i="3"/>
  <c r="H197" i="3"/>
  <c r="F197" i="3" s="1"/>
  <c r="G197" i="3"/>
  <c r="N196" i="3"/>
  <c r="L196" i="3"/>
  <c r="I196" i="3"/>
  <c r="H196" i="3"/>
  <c r="G196" i="3"/>
  <c r="F196" i="3"/>
  <c r="N195" i="3"/>
  <c r="L195" i="3"/>
  <c r="I195" i="3"/>
  <c r="H195" i="3"/>
  <c r="F195" i="3" s="1"/>
  <c r="G195" i="3"/>
  <c r="N194" i="3"/>
  <c r="L194" i="3"/>
  <c r="I194" i="3"/>
  <c r="H194" i="3"/>
  <c r="G194" i="3"/>
  <c r="F194" i="3"/>
  <c r="N193" i="3"/>
  <c r="L193" i="3"/>
  <c r="I193" i="3"/>
  <c r="H193" i="3"/>
  <c r="F193" i="3" s="1"/>
  <c r="G193" i="3"/>
  <c r="C193" i="3"/>
  <c r="N192" i="3"/>
  <c r="L192" i="3"/>
  <c r="I192" i="3"/>
  <c r="H192" i="3"/>
  <c r="F192" i="3" s="1"/>
  <c r="G192" i="3"/>
  <c r="N191" i="3"/>
  <c r="L191" i="3"/>
  <c r="I191" i="3"/>
  <c r="H191" i="3"/>
  <c r="G191" i="3"/>
  <c r="F191" i="3"/>
  <c r="N190" i="3"/>
  <c r="L190" i="3"/>
  <c r="I190" i="3"/>
  <c r="H190" i="3"/>
  <c r="F190" i="3" s="1"/>
  <c r="G190" i="3"/>
  <c r="N189" i="3"/>
  <c r="L189" i="3"/>
  <c r="I189" i="3"/>
  <c r="H189" i="3"/>
  <c r="G189" i="3"/>
  <c r="F189" i="3"/>
  <c r="N188" i="3"/>
  <c r="L188" i="3"/>
  <c r="I188" i="3"/>
  <c r="H188" i="3"/>
  <c r="F188" i="3" s="1"/>
  <c r="G188" i="3"/>
  <c r="N187" i="3"/>
  <c r="L187" i="3"/>
  <c r="I187" i="3"/>
  <c r="H187" i="3"/>
  <c r="G187" i="3"/>
  <c r="F187" i="3"/>
  <c r="N186" i="3"/>
  <c r="L186" i="3"/>
  <c r="I186" i="3"/>
  <c r="H186" i="3"/>
  <c r="F186" i="3" s="1"/>
  <c r="G186" i="3"/>
  <c r="N185" i="3"/>
  <c r="L185" i="3"/>
  <c r="I185" i="3"/>
  <c r="H185" i="3"/>
  <c r="G185" i="3"/>
  <c r="F185" i="3"/>
  <c r="N184" i="3"/>
  <c r="L184" i="3"/>
  <c r="I184" i="3"/>
  <c r="H184" i="3"/>
  <c r="F184" i="3" s="1"/>
  <c r="G184" i="3"/>
  <c r="N183" i="3"/>
  <c r="L183" i="3"/>
  <c r="I183" i="3"/>
  <c r="H183" i="3"/>
  <c r="G183" i="3"/>
  <c r="F183" i="3"/>
  <c r="N182" i="3"/>
  <c r="L182" i="3"/>
  <c r="I182" i="3"/>
  <c r="H182" i="3"/>
  <c r="F182" i="3" s="1"/>
  <c r="G182" i="3"/>
  <c r="N181" i="3"/>
  <c r="L181" i="3"/>
  <c r="I181" i="3"/>
  <c r="H181" i="3"/>
  <c r="G181" i="3"/>
  <c r="F181" i="3"/>
  <c r="N180" i="3"/>
  <c r="L180" i="3"/>
  <c r="I180" i="3"/>
  <c r="H180" i="3"/>
  <c r="F180" i="3" s="1"/>
  <c r="G180" i="3"/>
  <c r="N179" i="3"/>
  <c r="L179" i="3"/>
  <c r="I179" i="3"/>
  <c r="H179" i="3"/>
  <c r="G179" i="3"/>
  <c r="F179" i="3"/>
  <c r="N178" i="3"/>
  <c r="L178" i="3"/>
  <c r="I178" i="3"/>
  <c r="H178" i="3"/>
  <c r="F178" i="3" s="1"/>
  <c r="G178" i="3"/>
  <c r="N177" i="3"/>
  <c r="L177" i="3"/>
  <c r="I177" i="3"/>
  <c r="H177" i="3"/>
  <c r="G177" i="3"/>
  <c r="F177" i="3"/>
  <c r="N176" i="3"/>
  <c r="L176" i="3"/>
  <c r="I176" i="3"/>
  <c r="H176" i="3"/>
  <c r="F176" i="3" s="1"/>
  <c r="G176" i="3"/>
  <c r="N175" i="3"/>
  <c r="L175" i="3"/>
  <c r="I175" i="3"/>
  <c r="H175" i="3"/>
  <c r="G175" i="3"/>
  <c r="F175" i="3"/>
  <c r="N174" i="3"/>
  <c r="L174" i="3"/>
  <c r="I174" i="3"/>
  <c r="H174" i="3"/>
  <c r="F174" i="3" s="1"/>
  <c r="G174" i="3"/>
  <c r="N173" i="3"/>
  <c r="L173" i="3"/>
  <c r="I173" i="3"/>
  <c r="H173" i="3"/>
  <c r="G173" i="3"/>
  <c r="F173" i="3"/>
  <c r="N172" i="3"/>
  <c r="L172" i="3"/>
  <c r="I172" i="3"/>
  <c r="H172" i="3"/>
  <c r="F172" i="3" s="1"/>
  <c r="G172" i="3"/>
  <c r="N171" i="3"/>
  <c r="L171" i="3"/>
  <c r="I171" i="3"/>
  <c r="H171" i="3"/>
  <c r="G171" i="3"/>
  <c r="F171" i="3"/>
  <c r="N170" i="3"/>
  <c r="L170" i="3"/>
  <c r="I170" i="3"/>
  <c r="H170" i="3"/>
  <c r="F170" i="3" s="1"/>
  <c r="G170" i="3"/>
  <c r="N169" i="3"/>
  <c r="L169" i="3"/>
  <c r="I169" i="3"/>
  <c r="H169" i="3"/>
  <c r="G169" i="3"/>
  <c r="F169" i="3"/>
  <c r="N168" i="3"/>
  <c r="L168" i="3"/>
  <c r="I168" i="3"/>
  <c r="H168" i="3"/>
  <c r="F168" i="3" s="1"/>
  <c r="G168" i="3"/>
  <c r="N167" i="3"/>
  <c r="L167" i="3"/>
  <c r="I167" i="3"/>
  <c r="H167" i="3"/>
  <c r="G167" i="3"/>
  <c r="F167" i="3"/>
  <c r="N166" i="3"/>
  <c r="L166" i="3"/>
  <c r="I166" i="3"/>
  <c r="H166" i="3"/>
  <c r="F166" i="3" s="1"/>
  <c r="G166" i="3"/>
  <c r="N165" i="3"/>
  <c r="L165" i="3"/>
  <c r="I165" i="3"/>
  <c r="H165" i="3"/>
  <c r="G165" i="3"/>
  <c r="F165" i="3"/>
  <c r="N164" i="3"/>
  <c r="L164" i="3"/>
  <c r="I164" i="3"/>
  <c r="H164" i="3"/>
  <c r="F164" i="3" s="1"/>
  <c r="G164" i="3"/>
  <c r="N163" i="3"/>
  <c r="L163" i="3"/>
  <c r="I163" i="3"/>
  <c r="H163" i="3"/>
  <c r="G163" i="3"/>
  <c r="F163" i="3"/>
  <c r="N162" i="3"/>
  <c r="L162" i="3"/>
  <c r="I162" i="3"/>
  <c r="H162" i="3"/>
  <c r="F162" i="3" s="1"/>
  <c r="G162" i="3"/>
  <c r="N161" i="3"/>
  <c r="L161" i="3"/>
  <c r="I161" i="3"/>
  <c r="H161" i="3"/>
  <c r="G161" i="3"/>
  <c r="F161" i="3"/>
  <c r="N160" i="3"/>
  <c r="L160" i="3"/>
  <c r="I160" i="3"/>
  <c r="H160" i="3"/>
  <c r="F160" i="3" s="1"/>
  <c r="G160" i="3"/>
  <c r="C160" i="3"/>
  <c r="N159" i="3"/>
  <c r="L159" i="3"/>
  <c r="I159" i="3"/>
  <c r="H159" i="3"/>
  <c r="G159" i="3"/>
  <c r="F159" i="3"/>
  <c r="N158" i="3"/>
  <c r="L158" i="3"/>
  <c r="I158" i="3"/>
  <c r="H158" i="3"/>
  <c r="F158" i="3" s="1"/>
  <c r="G158" i="3"/>
  <c r="N157" i="3"/>
  <c r="L157" i="3"/>
  <c r="I157" i="3"/>
  <c r="H157" i="3"/>
  <c r="G157" i="3"/>
  <c r="F157" i="3"/>
  <c r="N156" i="3"/>
  <c r="L156" i="3"/>
  <c r="I156" i="3"/>
  <c r="H156" i="3"/>
  <c r="F156" i="3" s="1"/>
  <c r="G156" i="3"/>
  <c r="N155" i="3"/>
  <c r="L155" i="3"/>
  <c r="I155" i="3"/>
  <c r="H155" i="3"/>
  <c r="G155" i="3"/>
  <c r="F155" i="3"/>
  <c r="N154" i="3"/>
  <c r="L154" i="3"/>
  <c r="I154" i="3"/>
  <c r="H154" i="3"/>
  <c r="F154" i="3" s="1"/>
  <c r="G154" i="3"/>
  <c r="N153" i="3"/>
  <c r="L153" i="3"/>
  <c r="I153" i="3"/>
  <c r="H153" i="3"/>
  <c r="G153" i="3"/>
  <c r="F153" i="3"/>
  <c r="N152" i="3"/>
  <c r="L152" i="3"/>
  <c r="N151" i="3"/>
  <c r="L151" i="3"/>
  <c r="N150" i="3"/>
  <c r="L150" i="3"/>
  <c r="N149" i="3"/>
  <c r="L149" i="3"/>
  <c r="N148" i="3"/>
  <c r="L148" i="3"/>
  <c r="N147" i="3"/>
  <c r="L147" i="3"/>
  <c r="N146" i="3"/>
  <c r="L146" i="3"/>
  <c r="N145" i="3"/>
  <c r="L145" i="3"/>
  <c r="N144" i="3"/>
  <c r="L144" i="3"/>
  <c r="N143" i="3"/>
  <c r="L143" i="3"/>
  <c r="N142" i="3"/>
  <c r="L142" i="3"/>
  <c r="N141" i="3"/>
  <c r="L141" i="3"/>
  <c r="N140" i="3"/>
  <c r="L140" i="3"/>
  <c r="M140" i="3" s="1"/>
  <c r="I140" i="3"/>
  <c r="H140" i="3"/>
  <c r="G140" i="3"/>
  <c r="F140" i="3"/>
  <c r="N139" i="3"/>
  <c r="L139" i="3"/>
  <c r="I139" i="3"/>
  <c r="H139" i="3"/>
  <c r="F139" i="3" s="1"/>
  <c r="G139" i="3"/>
  <c r="N138" i="3"/>
  <c r="L138" i="3"/>
  <c r="I138" i="3"/>
  <c r="H138" i="3"/>
  <c r="G138" i="3"/>
  <c r="F138" i="3"/>
  <c r="N137" i="3"/>
  <c r="L137" i="3"/>
  <c r="I137" i="3"/>
  <c r="H137" i="3"/>
  <c r="F137" i="3" s="1"/>
  <c r="G137" i="3"/>
  <c r="C137" i="3"/>
  <c r="N136" i="3"/>
  <c r="L136" i="3"/>
  <c r="I136" i="3"/>
  <c r="H136" i="3"/>
  <c r="G136" i="3"/>
  <c r="F136" i="3"/>
  <c r="N135" i="3"/>
  <c r="L135" i="3"/>
  <c r="I135" i="3"/>
  <c r="H135" i="3"/>
  <c r="F135" i="3" s="1"/>
  <c r="G135" i="3"/>
  <c r="N134" i="3"/>
  <c r="L134" i="3"/>
  <c r="I134" i="3"/>
  <c r="H134" i="3"/>
  <c r="G134" i="3"/>
  <c r="F134" i="3"/>
  <c r="N133" i="3"/>
  <c r="L133" i="3"/>
  <c r="I133" i="3"/>
  <c r="H133" i="3"/>
  <c r="F133" i="3" s="1"/>
  <c r="G133" i="3"/>
  <c r="N132" i="3"/>
  <c r="L132" i="3"/>
  <c r="I132" i="3"/>
  <c r="H132" i="3"/>
  <c r="G132" i="3"/>
  <c r="F132" i="3"/>
  <c r="N131" i="3"/>
  <c r="L131" i="3"/>
  <c r="I131" i="3"/>
  <c r="H131" i="3"/>
  <c r="F131" i="3" s="1"/>
  <c r="G131" i="3"/>
  <c r="N130" i="3"/>
  <c r="L130" i="3"/>
  <c r="I130" i="3"/>
  <c r="H130" i="3"/>
  <c r="G130" i="3"/>
  <c r="F130" i="3"/>
  <c r="N129" i="3"/>
  <c r="L129" i="3"/>
  <c r="I129" i="3"/>
  <c r="H129" i="3"/>
  <c r="F129" i="3" s="1"/>
  <c r="G129" i="3"/>
  <c r="N128" i="3"/>
  <c r="L128" i="3"/>
  <c r="I128" i="3"/>
  <c r="H128" i="3"/>
  <c r="G128" i="3"/>
  <c r="F128" i="3"/>
  <c r="N127" i="3"/>
  <c r="L127" i="3"/>
  <c r="I127" i="3"/>
  <c r="H127" i="3"/>
  <c r="F127" i="3" s="1"/>
  <c r="G127" i="3"/>
  <c r="N126" i="3"/>
  <c r="L126" i="3"/>
  <c r="I126" i="3"/>
  <c r="H126" i="3"/>
  <c r="G126" i="3"/>
  <c r="F126" i="3"/>
  <c r="N125" i="3"/>
  <c r="L125" i="3"/>
  <c r="I125" i="3"/>
  <c r="H125" i="3"/>
  <c r="F125" i="3" s="1"/>
  <c r="G125" i="3"/>
  <c r="C125" i="3"/>
  <c r="N124" i="3"/>
  <c r="L124" i="3"/>
  <c r="I124" i="3"/>
  <c r="H124" i="3"/>
  <c r="F124" i="3" s="1"/>
  <c r="G124" i="3"/>
  <c r="N123" i="3"/>
  <c r="L123" i="3"/>
  <c r="I123" i="3"/>
  <c r="H123" i="3"/>
  <c r="G123" i="3"/>
  <c r="F123" i="3"/>
  <c r="N122" i="3"/>
  <c r="L122" i="3"/>
  <c r="I122" i="3"/>
  <c r="H122" i="3"/>
  <c r="F122" i="3" s="1"/>
  <c r="G122" i="3"/>
  <c r="N121" i="3"/>
  <c r="L121" i="3"/>
  <c r="I121" i="3"/>
  <c r="H121" i="3"/>
  <c r="G121" i="3"/>
  <c r="F121" i="3"/>
  <c r="N120" i="3"/>
  <c r="L120" i="3"/>
  <c r="I120" i="3"/>
  <c r="H120" i="3"/>
  <c r="F120" i="3" s="1"/>
  <c r="G120" i="3"/>
  <c r="N119" i="3"/>
  <c r="L119" i="3"/>
  <c r="I119" i="3"/>
  <c r="H119" i="3"/>
  <c r="G119" i="3"/>
  <c r="F119" i="3"/>
  <c r="N118" i="3"/>
  <c r="L118" i="3"/>
  <c r="I118" i="3"/>
  <c r="H118" i="3"/>
  <c r="F118" i="3" s="1"/>
  <c r="G118" i="3"/>
  <c r="C118" i="3"/>
  <c r="N117" i="3"/>
  <c r="L117" i="3"/>
  <c r="I117" i="3"/>
  <c r="H117" i="3"/>
  <c r="G117" i="3"/>
  <c r="F117" i="3"/>
  <c r="N116" i="3"/>
  <c r="L116" i="3"/>
  <c r="I116" i="3"/>
  <c r="H116" i="3"/>
  <c r="F116" i="3" s="1"/>
  <c r="G116" i="3"/>
  <c r="N115" i="3"/>
  <c r="L115" i="3"/>
  <c r="I115" i="3"/>
  <c r="H115" i="3"/>
  <c r="G115" i="3"/>
  <c r="F115" i="3"/>
  <c r="N114" i="3"/>
  <c r="L114" i="3"/>
  <c r="I114" i="3"/>
  <c r="H114" i="3"/>
  <c r="F114" i="3" s="1"/>
  <c r="G114" i="3"/>
  <c r="N113" i="3"/>
  <c r="L113" i="3"/>
  <c r="I113" i="3"/>
  <c r="H113" i="3"/>
  <c r="G113" i="3"/>
  <c r="F113" i="3"/>
  <c r="N112" i="3"/>
  <c r="L112" i="3"/>
  <c r="I112" i="3"/>
  <c r="H112" i="3"/>
  <c r="F112" i="3" s="1"/>
  <c r="G112" i="3"/>
  <c r="N111" i="3"/>
  <c r="L111" i="3"/>
  <c r="I111" i="3"/>
  <c r="H111" i="3"/>
  <c r="G111" i="3"/>
  <c r="F111" i="3"/>
  <c r="N110" i="3"/>
  <c r="L110" i="3"/>
  <c r="I110" i="3"/>
  <c r="H110" i="3"/>
  <c r="F110" i="3" s="1"/>
  <c r="G110" i="3"/>
  <c r="N109" i="3"/>
  <c r="L109" i="3"/>
  <c r="I109" i="3"/>
  <c r="H109" i="3"/>
  <c r="G109" i="3"/>
  <c r="F109" i="3"/>
  <c r="N108" i="3"/>
  <c r="L108" i="3"/>
  <c r="I108" i="3"/>
  <c r="H108" i="3"/>
  <c r="F108" i="3" s="1"/>
  <c r="G108" i="3"/>
  <c r="N107" i="3"/>
  <c r="L107" i="3"/>
  <c r="I107" i="3"/>
  <c r="H107" i="3"/>
  <c r="G107" i="3"/>
  <c r="F107" i="3"/>
  <c r="N106" i="3"/>
  <c r="L106" i="3"/>
  <c r="I106" i="3"/>
  <c r="H106" i="3"/>
  <c r="F106" i="3" s="1"/>
  <c r="G106" i="3"/>
  <c r="N105" i="3"/>
  <c r="L105" i="3"/>
  <c r="I105" i="3"/>
  <c r="H105" i="3"/>
  <c r="G105" i="3"/>
  <c r="F105" i="3"/>
  <c r="N104" i="3"/>
  <c r="L104" i="3"/>
  <c r="I104" i="3"/>
  <c r="H104" i="3"/>
  <c r="F104" i="3" s="1"/>
  <c r="G104" i="3"/>
  <c r="N103" i="3"/>
  <c r="L103" i="3"/>
  <c r="I103" i="3"/>
  <c r="H103" i="3"/>
  <c r="G103" i="3"/>
  <c r="F103" i="3"/>
  <c r="N102" i="3"/>
  <c r="L102" i="3"/>
  <c r="I102" i="3"/>
  <c r="H102" i="3"/>
  <c r="F102" i="3" s="1"/>
  <c r="G102" i="3"/>
  <c r="N101" i="3"/>
  <c r="L101" i="3"/>
  <c r="I101" i="3"/>
  <c r="H101" i="3"/>
  <c r="G101" i="3"/>
  <c r="F101" i="3"/>
  <c r="N100" i="3"/>
  <c r="L100" i="3"/>
  <c r="I100" i="3"/>
  <c r="H100" i="3"/>
  <c r="F100" i="3" s="1"/>
  <c r="G100" i="3"/>
  <c r="N99" i="3"/>
  <c r="L99" i="3"/>
  <c r="I99" i="3"/>
  <c r="H99" i="3"/>
  <c r="G99" i="3"/>
  <c r="F99" i="3"/>
  <c r="N98" i="3"/>
  <c r="L98" i="3"/>
  <c r="I98" i="3"/>
  <c r="H98" i="3"/>
  <c r="F98" i="3" s="1"/>
  <c r="G98" i="3"/>
  <c r="N97" i="3"/>
  <c r="L97" i="3"/>
  <c r="I97" i="3"/>
  <c r="H97" i="3"/>
  <c r="G97" i="3"/>
  <c r="F97" i="3"/>
  <c r="N96" i="3"/>
  <c r="L96" i="3"/>
  <c r="I96" i="3"/>
  <c r="H96" i="3"/>
  <c r="F96" i="3" s="1"/>
  <c r="G96" i="3"/>
  <c r="N95" i="3"/>
  <c r="L95" i="3"/>
  <c r="I95" i="3"/>
  <c r="H95" i="3"/>
  <c r="G95" i="3"/>
  <c r="F95" i="3"/>
  <c r="N94" i="3"/>
  <c r="L94" i="3"/>
  <c r="I94" i="3"/>
  <c r="H94" i="3"/>
  <c r="F94" i="3" s="1"/>
  <c r="G94" i="3"/>
  <c r="N93" i="3"/>
  <c r="L93" i="3"/>
  <c r="M93" i="3" s="1"/>
  <c r="I93" i="3"/>
  <c r="H93" i="3"/>
  <c r="F93" i="3" s="1"/>
  <c r="G93" i="3"/>
  <c r="N92" i="3"/>
  <c r="L92" i="3"/>
  <c r="I92" i="3"/>
  <c r="H92" i="3"/>
  <c r="G92" i="3"/>
  <c r="F92" i="3"/>
  <c r="N91" i="3"/>
  <c r="L91" i="3"/>
  <c r="I91" i="3"/>
  <c r="H91" i="3"/>
  <c r="F91" i="3" s="1"/>
  <c r="G91" i="3"/>
  <c r="N90" i="3"/>
  <c r="L90" i="3"/>
  <c r="I90" i="3"/>
  <c r="H90" i="3"/>
  <c r="G90" i="3"/>
  <c r="F90" i="3"/>
  <c r="C90" i="3"/>
  <c r="I89" i="3"/>
  <c r="H89" i="3"/>
  <c r="G89" i="3"/>
  <c r="F89" i="3"/>
  <c r="M88" i="3"/>
  <c r="L88" i="3"/>
  <c r="I88" i="3"/>
  <c r="H88" i="3"/>
  <c r="F88" i="3" s="1"/>
  <c r="G88" i="3"/>
  <c r="N87" i="3"/>
  <c r="L87" i="3"/>
  <c r="I87" i="3"/>
  <c r="H87" i="3"/>
  <c r="G87" i="3"/>
  <c r="F87" i="3"/>
  <c r="N86" i="3"/>
  <c r="L86" i="3"/>
  <c r="H86" i="3"/>
  <c r="G86" i="3"/>
  <c r="E86" i="3"/>
  <c r="I86" i="3" s="1"/>
  <c r="N85" i="3"/>
  <c r="L85" i="3"/>
  <c r="I85" i="3"/>
  <c r="H85" i="3"/>
  <c r="G85" i="3"/>
  <c r="F85" i="3"/>
  <c r="N84" i="3"/>
  <c r="L84" i="3"/>
  <c r="I84" i="3"/>
  <c r="H84" i="3"/>
  <c r="F84" i="3" s="1"/>
  <c r="G84" i="3"/>
  <c r="N83" i="3"/>
  <c r="L83" i="3"/>
  <c r="I83" i="3"/>
  <c r="H83" i="3"/>
  <c r="G83" i="3"/>
  <c r="F83" i="3"/>
  <c r="N82" i="3"/>
  <c r="L82" i="3"/>
  <c r="I82" i="3"/>
  <c r="H82" i="3"/>
  <c r="F82" i="3" s="1"/>
  <c r="G82" i="3"/>
  <c r="N81" i="3"/>
  <c r="L81" i="3"/>
  <c r="I81" i="3"/>
  <c r="H81" i="3"/>
  <c r="G81" i="3"/>
  <c r="F81" i="3"/>
  <c r="N80" i="3"/>
  <c r="L80" i="3"/>
  <c r="I80" i="3"/>
  <c r="H80" i="3"/>
  <c r="F80" i="3" s="1"/>
  <c r="G80" i="3"/>
  <c r="N79" i="3"/>
  <c r="L79" i="3"/>
  <c r="I79" i="3"/>
  <c r="H79" i="3"/>
  <c r="G79" i="3"/>
  <c r="F79" i="3"/>
  <c r="N78" i="3"/>
  <c r="L78" i="3"/>
  <c r="I78" i="3"/>
  <c r="H78" i="3"/>
  <c r="F78" i="3" s="1"/>
  <c r="G78" i="3"/>
  <c r="N77" i="3"/>
  <c r="L77" i="3"/>
  <c r="I77" i="3"/>
  <c r="H77" i="3"/>
  <c r="G77" i="3"/>
  <c r="F77" i="3"/>
  <c r="N76" i="3"/>
  <c r="L76" i="3"/>
  <c r="I76" i="3"/>
  <c r="H76" i="3"/>
  <c r="F76" i="3" s="1"/>
  <c r="G76" i="3"/>
  <c r="N75" i="3"/>
  <c r="L75" i="3"/>
  <c r="I75" i="3"/>
  <c r="H75" i="3"/>
  <c r="G75" i="3"/>
  <c r="F75" i="3"/>
  <c r="N74" i="3"/>
  <c r="L74" i="3"/>
  <c r="I74" i="3"/>
  <c r="H74" i="3"/>
  <c r="F74" i="3" s="1"/>
  <c r="G74" i="3"/>
  <c r="N73" i="3"/>
  <c r="L73" i="3"/>
  <c r="I73" i="3"/>
  <c r="H73" i="3"/>
  <c r="G73" i="3"/>
  <c r="F73" i="3"/>
  <c r="N72" i="3"/>
  <c r="L72" i="3"/>
  <c r="I72" i="3"/>
  <c r="H72" i="3"/>
  <c r="F72" i="3" s="1"/>
  <c r="G72" i="3"/>
  <c r="N71" i="3"/>
  <c r="L71" i="3"/>
  <c r="I71" i="3"/>
  <c r="H71" i="3"/>
  <c r="G71" i="3"/>
  <c r="F71" i="3"/>
  <c r="N70" i="3"/>
  <c r="L70" i="3"/>
  <c r="I70" i="3"/>
  <c r="H70" i="3"/>
  <c r="F70" i="3" s="1"/>
  <c r="G70" i="3"/>
  <c r="N69" i="3"/>
  <c r="L69" i="3"/>
  <c r="I69" i="3"/>
  <c r="H69" i="3"/>
  <c r="G69" i="3"/>
  <c r="F69" i="3"/>
  <c r="N68" i="3"/>
  <c r="L68" i="3"/>
  <c r="I68" i="3"/>
  <c r="H68" i="3"/>
  <c r="F68" i="3" s="1"/>
  <c r="G68" i="3"/>
  <c r="N67" i="3"/>
  <c r="L67" i="3"/>
  <c r="I67" i="3"/>
  <c r="H67" i="3"/>
  <c r="G67" i="3"/>
  <c r="F67" i="3"/>
  <c r="N66" i="3"/>
  <c r="L66" i="3"/>
  <c r="I66" i="3"/>
  <c r="H66" i="3"/>
  <c r="F66" i="3" s="1"/>
  <c r="G66" i="3"/>
  <c r="N65" i="3"/>
  <c r="L65" i="3"/>
  <c r="I65" i="3"/>
  <c r="H65" i="3"/>
  <c r="G65" i="3"/>
  <c r="F65" i="3"/>
  <c r="C65" i="3"/>
  <c r="I64" i="3"/>
  <c r="H64" i="3"/>
  <c r="F64" i="3" s="1"/>
  <c r="G64" i="3"/>
  <c r="I63" i="3"/>
  <c r="H63" i="3"/>
  <c r="F63" i="3" s="1"/>
  <c r="G63" i="3"/>
  <c r="I62" i="3"/>
  <c r="H62" i="3"/>
  <c r="F62" i="3" s="1"/>
  <c r="G62" i="3"/>
  <c r="I61" i="3"/>
  <c r="H61" i="3"/>
  <c r="F61" i="3" s="1"/>
  <c r="G61" i="3"/>
  <c r="I60" i="3"/>
  <c r="H60" i="3"/>
  <c r="F60" i="3" s="1"/>
  <c r="G60" i="3"/>
  <c r="I59" i="3"/>
  <c r="H59" i="3"/>
  <c r="F59" i="3" s="1"/>
  <c r="G59" i="3"/>
  <c r="I58" i="3"/>
  <c r="H58" i="3"/>
  <c r="F58" i="3" s="1"/>
  <c r="G58" i="3"/>
  <c r="I57" i="3"/>
  <c r="H57" i="3"/>
  <c r="F57" i="3" s="1"/>
  <c r="G57" i="3"/>
  <c r="I56" i="3"/>
  <c r="H56" i="3"/>
  <c r="F56" i="3" s="1"/>
  <c r="G56" i="3"/>
  <c r="I55" i="3"/>
  <c r="H55" i="3"/>
  <c r="F55" i="3" s="1"/>
  <c r="G55" i="3"/>
  <c r="N54" i="3"/>
  <c r="L54" i="3"/>
  <c r="I54" i="3"/>
  <c r="H54" i="3"/>
  <c r="G54" i="3"/>
  <c r="F54" i="3"/>
  <c r="N53" i="3"/>
  <c r="L53" i="3"/>
  <c r="I53" i="3"/>
  <c r="H53" i="3"/>
  <c r="F53" i="3" s="1"/>
  <c r="G53" i="3"/>
  <c r="N52" i="3"/>
  <c r="L52" i="3"/>
  <c r="I52" i="3"/>
  <c r="H52" i="3"/>
  <c r="G52" i="3"/>
  <c r="F52" i="3"/>
  <c r="N51" i="3"/>
  <c r="L51" i="3"/>
  <c r="I51" i="3"/>
  <c r="H51" i="3"/>
  <c r="F51" i="3" s="1"/>
  <c r="G51" i="3"/>
  <c r="N50" i="3"/>
  <c r="L50" i="3"/>
  <c r="I50" i="3"/>
  <c r="H50" i="3"/>
  <c r="G50" i="3"/>
  <c r="F50" i="3"/>
  <c r="N49" i="3"/>
  <c r="L49" i="3"/>
  <c r="I49" i="3"/>
  <c r="H49" i="3"/>
  <c r="F49" i="3" s="1"/>
  <c r="G49" i="3"/>
  <c r="N48" i="3"/>
  <c r="L48" i="3"/>
  <c r="I48" i="3"/>
  <c r="H48" i="3"/>
  <c r="G48" i="3"/>
  <c r="F48" i="3"/>
  <c r="N47" i="3"/>
  <c r="L47" i="3"/>
  <c r="I47" i="3"/>
  <c r="H47" i="3"/>
  <c r="F47" i="3" s="1"/>
  <c r="G47" i="3"/>
  <c r="N46" i="3"/>
  <c r="L46" i="3"/>
  <c r="I46" i="3"/>
  <c r="H46" i="3"/>
  <c r="G46" i="3"/>
  <c r="F46" i="3"/>
  <c r="N45" i="3"/>
  <c r="L45" i="3"/>
  <c r="I45" i="3"/>
  <c r="H45" i="3"/>
  <c r="F45" i="3" s="1"/>
  <c r="G45" i="3"/>
  <c r="N44" i="3"/>
  <c r="L44" i="3"/>
  <c r="I44" i="3"/>
  <c r="H44" i="3"/>
  <c r="G44" i="3"/>
  <c r="F44" i="3"/>
  <c r="N43" i="3"/>
  <c r="L43" i="3"/>
  <c r="I43" i="3"/>
  <c r="H43" i="3"/>
  <c r="F43" i="3" s="1"/>
  <c r="G43" i="3"/>
  <c r="N42" i="3"/>
  <c r="L42" i="3"/>
  <c r="I42" i="3"/>
  <c r="H42" i="3"/>
  <c r="G42" i="3"/>
  <c r="F42" i="3"/>
  <c r="N41" i="3"/>
  <c r="L41" i="3"/>
  <c r="I41" i="3"/>
  <c r="H41" i="3"/>
  <c r="F41" i="3" s="1"/>
  <c r="G41" i="3"/>
  <c r="N40" i="3"/>
  <c r="L40" i="3"/>
  <c r="I40" i="3"/>
  <c r="H40" i="3"/>
  <c r="G40" i="3"/>
  <c r="F40" i="3"/>
  <c r="N39" i="3"/>
  <c r="L39" i="3"/>
  <c r="I39" i="3"/>
  <c r="H39" i="3"/>
  <c r="F39" i="3" s="1"/>
  <c r="G39" i="3"/>
  <c r="I38" i="3"/>
  <c r="H38" i="3"/>
  <c r="F38" i="3" s="1"/>
  <c r="G38" i="3"/>
  <c r="I37" i="3"/>
  <c r="H37" i="3"/>
  <c r="F37" i="3" s="1"/>
  <c r="G37" i="3"/>
  <c r="I36" i="3"/>
  <c r="H36" i="3"/>
  <c r="F36" i="3" s="1"/>
  <c r="G36" i="3"/>
  <c r="N35" i="3"/>
  <c r="L35" i="3"/>
  <c r="I35" i="3"/>
  <c r="H35" i="3"/>
  <c r="F35" i="3" s="1"/>
  <c r="G35" i="3"/>
  <c r="N34" i="3"/>
  <c r="L34" i="3"/>
  <c r="I34" i="3"/>
  <c r="H34" i="3"/>
  <c r="G34" i="3"/>
  <c r="F34" i="3"/>
  <c r="N33" i="3"/>
  <c r="L33" i="3"/>
  <c r="I33" i="3"/>
  <c r="H33" i="3"/>
  <c r="F33" i="3" s="1"/>
  <c r="G33" i="3"/>
  <c r="N32" i="3"/>
  <c r="L32" i="3"/>
  <c r="I32" i="3"/>
  <c r="H32" i="3"/>
  <c r="G32" i="3"/>
  <c r="F32" i="3"/>
  <c r="N31" i="3"/>
  <c r="L31" i="3"/>
  <c r="I31" i="3"/>
  <c r="H31" i="3"/>
  <c r="F31" i="3" s="1"/>
  <c r="G31" i="3"/>
  <c r="N30" i="3"/>
  <c r="L30" i="3"/>
  <c r="I30" i="3"/>
  <c r="H30" i="3"/>
  <c r="G30" i="3"/>
  <c r="F30" i="3"/>
  <c r="N29" i="3"/>
  <c r="L29" i="3"/>
  <c r="I29" i="3"/>
  <c r="H29" i="3"/>
  <c r="F29" i="3" s="1"/>
  <c r="G29" i="3"/>
  <c r="N28" i="3"/>
  <c r="L28" i="3"/>
  <c r="I28" i="3"/>
  <c r="H28" i="3"/>
  <c r="G28" i="3"/>
  <c r="F28" i="3"/>
  <c r="N27" i="3"/>
  <c r="L27" i="3"/>
  <c r="I27" i="3"/>
  <c r="H27" i="3"/>
  <c r="F27" i="3" s="1"/>
  <c r="G27" i="3"/>
  <c r="N26" i="3"/>
  <c r="L26" i="3"/>
  <c r="I26" i="3"/>
  <c r="H26" i="3"/>
  <c r="G26" i="3"/>
  <c r="F26" i="3"/>
  <c r="N25" i="3"/>
  <c r="L25" i="3"/>
  <c r="I25" i="3"/>
  <c r="H25" i="3"/>
  <c r="F25" i="3" s="1"/>
  <c r="G25" i="3"/>
  <c r="N24" i="3"/>
  <c r="L24" i="3"/>
  <c r="I24" i="3"/>
  <c r="H24" i="3"/>
  <c r="G24" i="3"/>
  <c r="F24" i="3"/>
  <c r="N23" i="3"/>
  <c r="L23" i="3"/>
  <c r="I23" i="3"/>
  <c r="H23" i="3"/>
  <c r="F23" i="3" s="1"/>
  <c r="G23" i="3"/>
  <c r="N22" i="3"/>
  <c r="L22" i="3"/>
  <c r="I22" i="3"/>
  <c r="H22" i="3"/>
  <c r="G22" i="3"/>
  <c r="F22" i="3"/>
  <c r="N21" i="3"/>
  <c r="L21" i="3"/>
  <c r="I21" i="3"/>
  <c r="H21" i="3"/>
  <c r="F21" i="3" s="1"/>
  <c r="G21" i="3"/>
  <c r="N20" i="3"/>
  <c r="L20" i="3"/>
  <c r="I20" i="3"/>
  <c r="H20" i="3"/>
  <c r="G20" i="3"/>
  <c r="F20" i="3"/>
  <c r="N19" i="3"/>
  <c r="L19" i="3"/>
  <c r="I19" i="3"/>
  <c r="H19" i="3"/>
  <c r="F19" i="3" s="1"/>
  <c r="G19" i="3"/>
  <c r="N18" i="3"/>
  <c r="L18" i="3"/>
  <c r="I18" i="3"/>
  <c r="H18" i="3"/>
  <c r="G18" i="3"/>
  <c r="F18" i="3"/>
  <c r="N17" i="3"/>
  <c r="L17" i="3"/>
  <c r="I17" i="3"/>
  <c r="H17" i="3"/>
  <c r="F17" i="3" s="1"/>
  <c r="G17" i="3"/>
  <c r="N16" i="3"/>
  <c r="L16" i="3"/>
  <c r="I16" i="3"/>
  <c r="H16" i="3"/>
  <c r="G16" i="3"/>
  <c r="F16" i="3"/>
  <c r="N15" i="3"/>
  <c r="L15" i="3"/>
  <c r="I15" i="3"/>
  <c r="H15" i="3"/>
  <c r="F15" i="3" s="1"/>
  <c r="G15" i="3"/>
  <c r="N14" i="3"/>
  <c r="L14" i="3"/>
  <c r="I14" i="3"/>
  <c r="H14" i="3"/>
  <c r="G14" i="3"/>
  <c r="F14" i="3"/>
  <c r="N13" i="3"/>
  <c r="L13" i="3"/>
  <c r="I13" i="3"/>
  <c r="H13" i="3"/>
  <c r="F13" i="3" s="1"/>
  <c r="G13" i="3"/>
  <c r="N12" i="3"/>
  <c r="L12" i="3"/>
  <c r="I12" i="3"/>
  <c r="H12" i="3"/>
  <c r="G12" i="3"/>
  <c r="F12" i="3"/>
  <c r="N11" i="3"/>
  <c r="L11" i="3"/>
  <c r="I11" i="3"/>
  <c r="H11" i="3"/>
  <c r="F11" i="3" s="1"/>
  <c r="G11" i="3"/>
  <c r="N10" i="3"/>
  <c r="L10" i="3"/>
  <c r="I10" i="3"/>
  <c r="H10" i="3"/>
  <c r="G10" i="3"/>
  <c r="F10" i="3"/>
  <c r="N9" i="3"/>
  <c r="L9" i="3"/>
  <c r="I9" i="3"/>
  <c r="H9" i="3"/>
  <c r="F9" i="3" s="1"/>
  <c r="G9" i="3"/>
  <c r="N8" i="3"/>
  <c r="L8" i="3"/>
  <c r="I8" i="3"/>
  <c r="H8" i="3"/>
  <c r="G8" i="3"/>
  <c r="F8" i="3"/>
  <c r="N7" i="3"/>
  <c r="L7" i="3"/>
  <c r="I7" i="3"/>
  <c r="H7" i="3"/>
  <c r="F7" i="3" s="1"/>
  <c r="G7" i="3"/>
  <c r="N6" i="3"/>
  <c r="L6" i="3"/>
  <c r="I6" i="3"/>
  <c r="H6" i="3"/>
  <c r="G6" i="3"/>
  <c r="F6" i="3"/>
  <c r="M5" i="3"/>
  <c r="L5" i="3"/>
  <c r="I5" i="3"/>
  <c r="H5" i="3"/>
  <c r="H654" i="3" s="1"/>
  <c r="G5" i="3"/>
  <c r="D28" i="2"/>
  <c r="D27" i="2"/>
  <c r="F27" i="2" s="1"/>
  <c r="C27" i="2"/>
  <c r="D26" i="2"/>
  <c r="F26" i="2" s="1"/>
  <c r="C26" i="2"/>
  <c r="D25" i="2"/>
  <c r="F25" i="2" s="1"/>
  <c r="C25" i="2"/>
  <c r="F24" i="2"/>
  <c r="D24" i="2"/>
  <c r="C24" i="2"/>
  <c r="D23" i="2"/>
  <c r="F23" i="2" s="1"/>
  <c r="C23" i="2"/>
  <c r="D22" i="2"/>
  <c r="F22" i="2" s="1"/>
  <c r="C22" i="2"/>
  <c r="D21" i="2"/>
  <c r="F21" i="2" s="1"/>
  <c r="C21" i="2"/>
  <c r="F20" i="2"/>
  <c r="D20" i="2"/>
  <c r="C20" i="2"/>
  <c r="D19" i="2"/>
  <c r="F19" i="2" s="1"/>
  <c r="C19" i="2"/>
  <c r="D18" i="2"/>
  <c r="F18" i="2" s="1"/>
  <c r="C18" i="2"/>
  <c r="D17" i="2"/>
  <c r="F17" i="2" s="1"/>
  <c r="C17" i="2"/>
  <c r="F16" i="2"/>
  <c r="D16" i="2"/>
  <c r="C16" i="2"/>
  <c r="D15" i="2"/>
  <c r="F15" i="2" s="1"/>
  <c r="C15" i="2"/>
  <c r="D14" i="2"/>
  <c r="F14" i="2" s="1"/>
  <c r="C13" i="2"/>
  <c r="D10" i="2"/>
  <c r="D8" i="2"/>
  <c r="F6" i="2"/>
  <c r="C6" i="2"/>
  <c r="D13" i="2" s="1"/>
  <c r="F13" i="2" s="1"/>
  <c r="D30" i="2" s="1"/>
  <c r="D4" i="2"/>
  <c r="D2" i="2"/>
  <c r="I48" i="1"/>
  <c r="L48" i="1" s="1"/>
  <c r="E48" i="1"/>
  <c r="I47" i="1"/>
  <c r="L47" i="1" s="1"/>
  <c r="E47" i="1"/>
  <c r="L46" i="1"/>
  <c r="I46" i="1"/>
  <c r="E46" i="1"/>
  <c r="L45" i="1"/>
  <c r="I45" i="1"/>
  <c r="E45" i="1"/>
  <c r="E44" i="1"/>
  <c r="I43" i="1"/>
  <c r="L43" i="1" s="1"/>
  <c r="E43" i="1"/>
  <c r="E42" i="1"/>
  <c r="E41" i="1"/>
  <c r="L40" i="1"/>
  <c r="E40" i="1"/>
  <c r="I39" i="1"/>
  <c r="L39" i="1" s="1"/>
  <c r="E39" i="1"/>
  <c r="L38" i="1"/>
  <c r="I38" i="1"/>
  <c r="E38" i="1"/>
  <c r="I37" i="1"/>
  <c r="L37" i="1" s="1"/>
  <c r="E37" i="1"/>
  <c r="E36" i="1"/>
  <c r="E35" i="1"/>
  <c r="L34" i="1"/>
  <c r="I34" i="1"/>
  <c r="E34" i="1"/>
  <c r="E33" i="1"/>
  <c r="L32" i="1"/>
  <c r="I32" i="1"/>
  <c r="E32" i="1"/>
  <c r="I31" i="1"/>
  <c r="L31" i="1" s="1"/>
  <c r="E31" i="1"/>
  <c r="L30" i="1"/>
  <c r="I30" i="1"/>
  <c r="E30" i="1"/>
  <c r="I29" i="1"/>
  <c r="L29" i="1" s="1"/>
  <c r="E29" i="1"/>
  <c r="E28" i="1"/>
  <c r="E27" i="1"/>
  <c r="E26" i="1"/>
  <c r="E25" i="1"/>
  <c r="E24" i="1"/>
  <c r="E23" i="1"/>
  <c r="E22" i="1"/>
  <c r="E21" i="1"/>
  <c r="L20" i="1"/>
  <c r="I20" i="1"/>
  <c r="E20" i="1"/>
  <c r="E19" i="1"/>
  <c r="E18" i="1"/>
  <c r="I17" i="1"/>
  <c r="L17" i="1" s="1"/>
  <c r="E17" i="1"/>
  <c r="I16" i="1"/>
  <c r="L16" i="1" s="1"/>
  <c r="E16" i="1"/>
  <c r="E15" i="1"/>
  <c r="E14" i="1"/>
  <c r="I13" i="1"/>
  <c r="L13" i="1" s="1"/>
  <c r="E13" i="1"/>
  <c r="I12" i="1"/>
  <c r="L12" i="1" s="1"/>
  <c r="E12" i="1"/>
  <c r="I11" i="1"/>
  <c r="L11" i="1" s="1"/>
  <c r="E11" i="1"/>
  <c r="E10" i="1"/>
  <c r="I9" i="1"/>
  <c r="L9" i="1" s="1"/>
  <c r="E9" i="1"/>
  <c r="I8" i="1"/>
  <c r="L8" i="1" s="1"/>
  <c r="E8" i="1"/>
  <c r="E7" i="1"/>
  <c r="F5" i="1"/>
  <c r="H4" i="1"/>
  <c r="E3" i="1"/>
  <c r="I42" i="1" s="1"/>
  <c r="L42" i="1" s="1"/>
  <c r="J2" i="1"/>
  <c r="F2" i="1"/>
  <c r="H1" i="1"/>
  <c r="I654" i="3" l="1"/>
  <c r="F5" i="3"/>
  <c r="E654" i="3"/>
  <c r="F86" i="3"/>
  <c r="G654" i="3"/>
  <c r="I7" i="1"/>
  <c r="L7" i="1" s="1"/>
  <c r="I15" i="1"/>
  <c r="L15" i="1" s="1"/>
  <c r="I10" i="1"/>
  <c r="L10" i="1" s="1"/>
  <c r="I14" i="1"/>
  <c r="L14" i="1" s="1"/>
  <c r="I18" i="1"/>
  <c r="L18" i="1" s="1"/>
  <c r="I22" i="1"/>
  <c r="L22" i="1" s="1"/>
  <c r="I26" i="1"/>
  <c r="L26" i="1" s="1"/>
  <c r="I41" i="1"/>
  <c r="L41" i="1" s="1"/>
  <c r="I21" i="1"/>
  <c r="L21" i="1" s="1"/>
  <c r="I25" i="1"/>
  <c r="L25" i="1" s="1"/>
  <c r="I33" i="1"/>
  <c r="L33" i="1" s="1"/>
  <c r="I44" i="1"/>
  <c r="L44" i="1" s="1"/>
  <c r="I24" i="1"/>
  <c r="L24" i="1" s="1"/>
  <c r="I28" i="1"/>
  <c r="L28" i="1" s="1"/>
  <c r="I36" i="1"/>
  <c r="L36" i="1" s="1"/>
  <c r="I19" i="1"/>
  <c r="L19" i="1" s="1"/>
  <c r="I23" i="1"/>
  <c r="L23" i="1" s="1"/>
  <c r="I27" i="1"/>
  <c r="L27" i="1" s="1"/>
  <c r="I35" i="1"/>
  <c r="L35" i="1" s="1"/>
  <c r="F654" i="3" l="1"/>
  <c r="G54" i="1"/>
</calcChain>
</file>

<file path=xl/sharedStrings.xml><?xml version="1.0" encoding="utf-8"?>
<sst xmlns="http://schemas.openxmlformats.org/spreadsheetml/2006/main" count="3197" uniqueCount="2141">
  <si>
    <t>Fecha</t>
  </si>
  <si>
    <t>Cod.</t>
  </si>
  <si>
    <t>007</t>
  </si>
  <si>
    <t>Hs. Entrega:</t>
  </si>
  <si>
    <t>LP:</t>
  </si>
  <si>
    <t>Direccion:</t>
  </si>
  <si>
    <t>Telefono:</t>
  </si>
  <si>
    <t>Cant.</t>
  </si>
  <si>
    <t>Nombre articulo</t>
  </si>
  <si>
    <t>Precio</t>
  </si>
  <si>
    <t>ENTREGADO</t>
  </si>
  <si>
    <t>Importe</t>
  </si>
  <si>
    <t>0001</t>
  </si>
  <si>
    <t>SI</t>
  </si>
  <si>
    <t>NO</t>
  </si>
  <si>
    <t>2308</t>
  </si>
  <si>
    <t>2307</t>
  </si>
  <si>
    <t>2309</t>
  </si>
  <si>
    <t>0301</t>
  </si>
  <si>
    <t>0304</t>
  </si>
  <si>
    <t>0305</t>
  </si>
  <si>
    <t>0306</t>
  </si>
  <si>
    <t>0307</t>
  </si>
  <si>
    <t>2311</t>
  </si>
  <si>
    <t>2310</t>
  </si>
  <si>
    <t>2319</t>
  </si>
  <si>
    <t>2315</t>
  </si>
  <si>
    <t>2305</t>
  </si>
  <si>
    <t>2317</t>
  </si>
  <si>
    <t>2304</t>
  </si>
  <si>
    <t>2306</t>
  </si>
  <si>
    <t>2318</t>
  </si>
  <si>
    <t>2324</t>
  </si>
  <si>
    <t>2418</t>
  </si>
  <si>
    <t>2321</t>
  </si>
  <si>
    <t>2316</t>
  </si>
  <si>
    <t>2504</t>
  </si>
  <si>
    <t>2492</t>
  </si>
  <si>
    <t>2461</t>
  </si>
  <si>
    <t>2422</t>
  </si>
  <si>
    <t>CONTROL DE LATAS</t>
  </si>
  <si>
    <t>ENTREGA</t>
  </si>
  <si>
    <t>DEBOLUCION</t>
  </si>
  <si>
    <t>DIFERENCIA</t>
  </si>
  <si>
    <t>BAGUETERAS</t>
  </si>
  <si>
    <t>LATAS LISAS</t>
  </si>
  <si>
    <t>LISAS</t>
  </si>
  <si>
    <t>Total</t>
  </si>
  <si>
    <t>077</t>
  </si>
  <si>
    <t>ITALIA</t>
  </si>
  <si>
    <t>10/11hs</t>
  </si>
  <si>
    <t>ITALIA ESQUINA MITRE</t>
  </si>
  <si>
    <t>0020</t>
  </si>
  <si>
    <t>FIGASA</t>
  </si>
  <si>
    <t>Codigo</t>
  </si>
  <si>
    <t>Rubro</t>
  </si>
  <si>
    <t>Detalle Articulo</t>
  </si>
  <si>
    <t>Minorista</t>
  </si>
  <si>
    <t>Mayorista</t>
  </si>
  <si>
    <t>Costeo L5</t>
  </si>
  <si>
    <t>Ganancia L5</t>
  </si>
  <si>
    <t>Costeo Mercaderia sin MO</t>
  </si>
  <si>
    <t xml:space="preserve">Lista </t>
  </si>
  <si>
    <t>Sin estructura</t>
  </si>
  <si>
    <t>Con Estructura</t>
  </si>
  <si>
    <t>Con estructura</t>
  </si>
  <si>
    <t>3</t>
  </si>
  <si>
    <t>4</t>
  </si>
  <si>
    <t>5</t>
  </si>
  <si>
    <t>6</t>
  </si>
  <si>
    <t>7</t>
  </si>
  <si>
    <t>8</t>
  </si>
  <si>
    <t>9</t>
  </si>
  <si>
    <t>%</t>
  </si>
  <si>
    <t>PANES</t>
  </si>
  <si>
    <t>PAN COMUN MIGÑON</t>
  </si>
  <si>
    <t>0002</t>
  </si>
  <si>
    <t>PAN COMUN MIGÑON BRAZZI ESCUELAS/JUANCHO</t>
  </si>
  <si>
    <t>0003</t>
  </si>
  <si>
    <t>CHIPS X KG</t>
  </si>
  <si>
    <t>0006</t>
  </si>
  <si>
    <t>SABORIZADOS</t>
  </si>
  <si>
    <t>0007</t>
  </si>
  <si>
    <t>BOLLITOS</t>
  </si>
  <si>
    <t>0009</t>
  </si>
  <si>
    <t>PAN DE PIZZA</t>
  </si>
  <si>
    <t>0010</t>
  </si>
  <si>
    <t>PAN DE MASA MADRE KG</t>
  </si>
  <si>
    <t>0011</t>
  </si>
  <si>
    <t>PAN VIVANCO MIGÑON</t>
  </si>
  <si>
    <t>0012</t>
  </si>
  <si>
    <t>PAN DE MOLDE CHICO (FETEADO) BLANCO</t>
  </si>
  <si>
    <t>0025</t>
  </si>
  <si>
    <t>PAN DE MOLDE CHICO (FETEADO)  NEGRO</t>
  </si>
  <si>
    <t>0026</t>
  </si>
  <si>
    <t>PAN DE MOLDE GRANDE NEGRO</t>
  </si>
  <si>
    <t>0017</t>
  </si>
  <si>
    <t>PAN DE MOLDE GRANDE BLANCO</t>
  </si>
  <si>
    <t>0013</t>
  </si>
  <si>
    <t>PAN DE CAMPO X UNIDAD</t>
  </si>
  <si>
    <t>0014</t>
  </si>
  <si>
    <t>PAN DE CAMPO ZEPELLING BLANCO</t>
  </si>
  <si>
    <t>0027</t>
  </si>
  <si>
    <t>PAN DE CAMPO ZEPELLING MULTICERAL</t>
  </si>
  <si>
    <t>0016</t>
  </si>
  <si>
    <t xml:space="preserve">PAN RAYADO </t>
  </si>
  <si>
    <t>0018</t>
  </si>
  <si>
    <t>NEGRITO</t>
  </si>
  <si>
    <t>0021</t>
  </si>
  <si>
    <t>FLAUTA</t>
  </si>
  <si>
    <t>0022</t>
  </si>
  <si>
    <t>MIGÑON</t>
  </si>
  <si>
    <t>0023</t>
  </si>
  <si>
    <t>BAGUETIN</t>
  </si>
  <si>
    <t>0024</t>
  </si>
  <si>
    <t>MILONGA</t>
  </si>
  <si>
    <t>0031</t>
  </si>
  <si>
    <t>BAGUETTE LARGAS RUSTICAS BLANCAS (PAN DE CAMPO LARGO BLANCO)</t>
  </si>
  <si>
    <t>0032</t>
  </si>
  <si>
    <t>BAGUETTE LARGAS RUSTICAS NEGRA (PAN DE CAMPO LARGO NEGRO)</t>
  </si>
  <si>
    <t>0034</t>
  </si>
  <si>
    <t>PAN REDONDO NEGRO GRANDE</t>
  </si>
  <si>
    <t>0035</t>
  </si>
  <si>
    <t>PAN REDONDO BLANCO GRANDE</t>
  </si>
  <si>
    <t>0036</t>
  </si>
  <si>
    <t>ZEPELLING DOBLE GRANDE BLANCO</t>
  </si>
  <si>
    <t>0037</t>
  </si>
  <si>
    <t>ZEPELLING DOBLE GRANDE NEGRO</t>
  </si>
  <si>
    <t>0038</t>
  </si>
  <si>
    <t>ROCETAS</t>
  </si>
  <si>
    <t>0039</t>
  </si>
  <si>
    <t>FIGASAS SABORIZADA</t>
  </si>
  <si>
    <t>0040</t>
  </si>
  <si>
    <t>SLIDER</t>
  </si>
  <si>
    <t>2041</t>
  </si>
  <si>
    <t>PAN DE MOLDE INTEGRAL GDE</t>
  </si>
  <si>
    <t>2042</t>
  </si>
  <si>
    <t>PAN DE CAMPO INTEGRAL X UNIDAD</t>
  </si>
  <si>
    <t>2043</t>
  </si>
  <si>
    <t>BAGUETTE INTEGRAL X KG</t>
  </si>
  <si>
    <t>BRAZZI</t>
  </si>
  <si>
    <t>0041</t>
  </si>
  <si>
    <t>MULTICEREAL</t>
  </si>
  <si>
    <t>0042</t>
  </si>
  <si>
    <t>MINI PAN DE CAMPO</t>
  </si>
  <si>
    <t>0043</t>
  </si>
  <si>
    <t>GALLETAS LARGAS</t>
  </si>
  <si>
    <t>0044</t>
  </si>
  <si>
    <t>GRISINES LARGOS</t>
  </si>
  <si>
    <t>0045</t>
  </si>
  <si>
    <t>BOLLITOS CON SESAMO</t>
  </si>
  <si>
    <t>0046</t>
  </si>
  <si>
    <t>FUGACITAS NEGRAS M N 5</t>
  </si>
  <si>
    <t>0047</t>
  </si>
  <si>
    <t>MINI BRIOCHE</t>
  </si>
  <si>
    <t>0048</t>
  </si>
  <si>
    <t>FIGACITAS DE MANTECA M N 5</t>
  </si>
  <si>
    <t>0049</t>
  </si>
  <si>
    <t>MINI BOLLITOS</t>
  </si>
  <si>
    <t>0050</t>
  </si>
  <si>
    <t>PLETSALAJ CON AMAPOLA</t>
  </si>
  <si>
    <t>0051</t>
  </si>
  <si>
    <t>ALEMANCITOS X KG</t>
  </si>
  <si>
    <t>0052</t>
  </si>
  <si>
    <t>FIGACITAS C/ SESAMO</t>
  </si>
  <si>
    <t>0053</t>
  </si>
  <si>
    <t>BAGUETIN C/ QUESO</t>
  </si>
  <si>
    <t>0054</t>
  </si>
  <si>
    <t>BAGUETIN C/ SEMILLAS</t>
  </si>
  <si>
    <t>0055</t>
  </si>
  <si>
    <t>BAGUETIN S/ NADA</t>
  </si>
  <si>
    <t>CAZONA</t>
  </si>
  <si>
    <t>0056</t>
  </si>
  <si>
    <t>BOLLITOS SESAMO CATERING</t>
  </si>
  <si>
    <t>0057</t>
  </si>
  <si>
    <t>BOLLITO SALVADO CATERING</t>
  </si>
  <si>
    <t>0058</t>
  </si>
  <si>
    <t>BOLLITO SABORIZADO CATERING</t>
  </si>
  <si>
    <t>0059</t>
  </si>
  <si>
    <t>PEBETITOS CATERING</t>
  </si>
  <si>
    <t>0060</t>
  </si>
  <si>
    <t>BOLLITO CN 2 CORTES CATERING</t>
  </si>
  <si>
    <t>0061</t>
  </si>
  <si>
    <t>FIGACITAS N5 S/PINTAR</t>
  </si>
  <si>
    <t>0062</t>
  </si>
  <si>
    <t>MINI PANCHO X12 CATERING</t>
  </si>
  <si>
    <t>0063</t>
  </si>
  <si>
    <t>HAMBURGUESITA 40G</t>
  </si>
  <si>
    <t>0064</t>
  </si>
  <si>
    <t>HAMBURGUESA 60G</t>
  </si>
  <si>
    <t>0101</t>
  </si>
  <si>
    <t>PAN P/ SANDWICHES</t>
  </si>
  <si>
    <t>ZAPATILLAS X UNIDAD</t>
  </si>
  <si>
    <t>0102</t>
  </si>
  <si>
    <t>ARABE X UNIDAD</t>
  </si>
  <si>
    <t>0103</t>
  </si>
  <si>
    <t>PEBETE X UNIDAD</t>
  </si>
  <si>
    <t>0104</t>
  </si>
  <si>
    <t>PEBETE X DOCENA</t>
  </si>
  <si>
    <t>0105</t>
  </si>
  <si>
    <t>SUPER PANCHO X UNIDAD</t>
  </si>
  <si>
    <t>0106</t>
  </si>
  <si>
    <t>SUPER PANCHO X DOCENA</t>
  </si>
  <si>
    <t>0107</t>
  </si>
  <si>
    <t>SUPER PANCHO X 6</t>
  </si>
  <si>
    <t>0113</t>
  </si>
  <si>
    <t>PANCHO CHICO X UNIDAD</t>
  </si>
  <si>
    <t>0114</t>
  </si>
  <si>
    <t>PANCHO CHICO X 6</t>
  </si>
  <si>
    <t>0115</t>
  </si>
  <si>
    <t>PANCHO CHICO X 12</t>
  </si>
  <si>
    <t>0109</t>
  </si>
  <si>
    <t>HAMBURGUESA CHICA CON SEMILLAS</t>
  </si>
  <si>
    <t>0110</t>
  </si>
  <si>
    <t>HAMBURGUESA CHICA X 6</t>
  </si>
  <si>
    <t>0111</t>
  </si>
  <si>
    <t>HAMBURGUESA GRANDE X UNIDAD</t>
  </si>
  <si>
    <t>0112</t>
  </si>
  <si>
    <t>HAMBURGUESA GRANDE X 6</t>
  </si>
  <si>
    <t>0125</t>
  </si>
  <si>
    <t>HAMBURGUESA TIPO BIMBO</t>
  </si>
  <si>
    <t>0117</t>
  </si>
  <si>
    <t>PAN DE PAPA C/SEMILLA X UNI</t>
  </si>
  <si>
    <t>0118</t>
  </si>
  <si>
    <t>PAN DE PAPA  C/SEMILLA X 2</t>
  </si>
  <si>
    <t>0119</t>
  </si>
  <si>
    <t>PAN DE PAPA CON SEMILLA X 6</t>
  </si>
  <si>
    <t>0122</t>
  </si>
  <si>
    <t>PAN DE PAPA X UNI C/ QUESO</t>
  </si>
  <si>
    <t>0123</t>
  </si>
  <si>
    <t>ARABE POR DOCENA</t>
  </si>
  <si>
    <t>0124</t>
  </si>
  <si>
    <t>PAN DE PAPA CON QUESO X 12</t>
  </si>
  <si>
    <t>0128</t>
  </si>
  <si>
    <t>SUPER PANCHO X DOCENA POMPEYA</t>
  </si>
  <si>
    <t>0129</t>
  </si>
  <si>
    <t xml:space="preserve">FLAUTON GRANDE </t>
  </si>
  <si>
    <t>0130</t>
  </si>
  <si>
    <t>ARABE INTEGRAL X UNIDAD</t>
  </si>
  <si>
    <t>0217</t>
  </si>
  <si>
    <t>ESPECIALES</t>
  </si>
  <si>
    <t>PAN DE MIGA</t>
  </si>
  <si>
    <t>0201</t>
  </si>
  <si>
    <t>CROISSANT X UNIDAD</t>
  </si>
  <si>
    <t>0202</t>
  </si>
  <si>
    <t>CROISSANT X  2</t>
  </si>
  <si>
    <t>0204</t>
  </si>
  <si>
    <t>CHIPA  X UNIDAD</t>
  </si>
  <si>
    <t>0205</t>
  </si>
  <si>
    <t>CHIPA  X 6</t>
  </si>
  <si>
    <t>0206</t>
  </si>
  <si>
    <t>BIZCOCHO DE GRASA</t>
  </si>
  <si>
    <t>0207</t>
  </si>
  <si>
    <t>BIZCOCHO/CUERNITO DE GRASA  X 1/4</t>
  </si>
  <si>
    <t>0229</t>
  </si>
  <si>
    <t>CUERNITOS DE GRASA X KG</t>
  </si>
  <si>
    <t>0230</t>
  </si>
  <si>
    <t>CUERNITOS DE GRASA X 1/4</t>
  </si>
  <si>
    <t>0210</t>
  </si>
  <si>
    <t>GALLETA DE GRASA</t>
  </si>
  <si>
    <t>0211</t>
  </si>
  <si>
    <t>GALLETA DE GRASA X 1/4</t>
  </si>
  <si>
    <t>0223</t>
  </si>
  <si>
    <t>GALLETA DE GRASA C/QUESO X KG</t>
  </si>
  <si>
    <t>0214</t>
  </si>
  <si>
    <t>GALLETA DE CHICHARRON X 1/4</t>
  </si>
  <si>
    <t>0226</t>
  </si>
  <si>
    <t>GALLETA DE GRASA CON CHICHARRON</t>
  </si>
  <si>
    <t>0212</t>
  </si>
  <si>
    <t>FOCACCIA X UN</t>
  </si>
  <si>
    <t>0215</t>
  </si>
  <si>
    <t>TALITAS KG</t>
  </si>
  <si>
    <t>0216</t>
  </si>
  <si>
    <t>MARINERAS / MEXICANITOS/GRISINES X 1/4</t>
  </si>
  <si>
    <t>0231</t>
  </si>
  <si>
    <t>GRISINES KG</t>
  </si>
  <si>
    <t>0232</t>
  </si>
  <si>
    <t>MEXICANITOS KG</t>
  </si>
  <si>
    <t>0218</t>
  </si>
  <si>
    <t>TORTA FRITA X UNIDAD</t>
  </si>
  <si>
    <t>0219</t>
  </si>
  <si>
    <t>TORTA FRITA X 2</t>
  </si>
  <si>
    <t>0220</t>
  </si>
  <si>
    <t>TORTA FRITA X 6</t>
  </si>
  <si>
    <t>0221</t>
  </si>
  <si>
    <t>TORTA FRITA X 12</t>
  </si>
  <si>
    <t>0224</t>
  </si>
  <si>
    <t>TRENSAS X UN</t>
  </si>
  <si>
    <t>0227</t>
  </si>
  <si>
    <t>PAN DE LECHE X UNIDAD</t>
  </si>
  <si>
    <t>0233</t>
  </si>
  <si>
    <t>GRISINES/TALITAS/MEXICANITOS</t>
  </si>
  <si>
    <t>0235</t>
  </si>
  <si>
    <t>PAN BAGUETIN VIENA (PRECOCIDO)</t>
  </si>
  <si>
    <t>CREMONAS</t>
  </si>
  <si>
    <t>CREMONA CHICA X UNIDAD</t>
  </si>
  <si>
    <t>CREMONA SOLA</t>
  </si>
  <si>
    <t>CREMONA DULCE</t>
  </si>
  <si>
    <t>CREMONA CHICHA</t>
  </si>
  <si>
    <t>CREMONA DE JAMON Y QUESO</t>
  </si>
  <si>
    <t>0308</t>
  </si>
  <si>
    <t>CREMONA CHICA C / CHICHARRON</t>
  </si>
  <si>
    <t>0401</t>
  </si>
  <si>
    <t>PREPIZZA</t>
  </si>
  <si>
    <t>PREPIZZA TOMATE</t>
  </si>
  <si>
    <t>0402</t>
  </si>
  <si>
    <t>PREPIZZA TOMATE X2</t>
  </si>
  <si>
    <t>0403</t>
  </si>
  <si>
    <t xml:space="preserve">PREPIZZA CEBOLLA </t>
  </si>
  <si>
    <t>0404</t>
  </si>
  <si>
    <t>PREPIZZA CEBOLLA X2</t>
  </si>
  <si>
    <t>0405</t>
  </si>
  <si>
    <t>PREPIZZA INDIVIDUAL</t>
  </si>
  <si>
    <t>0406</t>
  </si>
  <si>
    <t>PREPIZZA INDIVIDUAL X2</t>
  </si>
  <si>
    <t>0408</t>
  </si>
  <si>
    <t>PIZZETA X 12 UNID.</t>
  </si>
  <si>
    <t>0409</t>
  </si>
  <si>
    <t>PREPIZZA MIXTA</t>
  </si>
  <si>
    <t>0410</t>
  </si>
  <si>
    <t>PREPIZZA MIXTA X 2</t>
  </si>
  <si>
    <t>0411</t>
  </si>
  <si>
    <t>PLANCHA DE PIZZA</t>
  </si>
  <si>
    <t>0412</t>
  </si>
  <si>
    <t>PIZZA OVALADAS</t>
  </si>
  <si>
    <t>0501</t>
  </si>
  <si>
    <t>FACTURAS</t>
  </si>
  <si>
    <t>SACRAMENTOS</t>
  </si>
  <si>
    <t>0502</t>
  </si>
  <si>
    <t>FACTURAS DOCENA</t>
  </si>
  <si>
    <t>0503</t>
  </si>
  <si>
    <t>MEDIALUNAS MANT</t>
  </si>
  <si>
    <t>0504</t>
  </si>
  <si>
    <t>FACTURAS X 1</t>
  </si>
  <si>
    <t>0505</t>
  </si>
  <si>
    <t>FACTURAS X 2</t>
  </si>
  <si>
    <t>0506</t>
  </si>
  <si>
    <t>FACTURAS X 3</t>
  </si>
  <si>
    <t>0507</t>
  </si>
  <si>
    <t>FACTURAS X 4</t>
  </si>
  <si>
    <t>0508</t>
  </si>
  <si>
    <t>FACTURAS X 5</t>
  </si>
  <si>
    <t>0509</t>
  </si>
  <si>
    <t>FACTURAS X 6</t>
  </si>
  <si>
    <t>0510</t>
  </si>
  <si>
    <t>FACTURAS X 7</t>
  </si>
  <si>
    <t>0511</t>
  </si>
  <si>
    <t>FACTURAS X 8</t>
  </si>
  <si>
    <t>0512</t>
  </si>
  <si>
    <t>FACTURAS X 9</t>
  </si>
  <si>
    <t>0513</t>
  </si>
  <si>
    <t>FACTURAS X 10</t>
  </si>
  <si>
    <t>0514</t>
  </si>
  <si>
    <t>FACTURAS X 11</t>
  </si>
  <si>
    <t>0515</t>
  </si>
  <si>
    <t>CONGELADOS</t>
  </si>
  <si>
    <t>MED CONGLADAS X 12</t>
  </si>
  <si>
    <t>0517</t>
  </si>
  <si>
    <t>MED CONGLADAS X LATA (3DOCENAS)</t>
  </si>
  <si>
    <t>0518</t>
  </si>
  <si>
    <t>MED DE GRASA CONGELADAS X LATA (28 UNIDADES)</t>
  </si>
  <si>
    <t>0519</t>
  </si>
  <si>
    <t>BOLAS DE FRAILE x DOC</t>
  </si>
  <si>
    <t>0520</t>
  </si>
  <si>
    <t>DONAS X DOC</t>
  </si>
  <si>
    <t>0521</t>
  </si>
  <si>
    <t>FACTURAS VIENESAS</t>
  </si>
  <si>
    <t>0522</t>
  </si>
  <si>
    <t>BOLAS DE FRAILE X UNIDAD</t>
  </si>
  <si>
    <t>0523</t>
  </si>
  <si>
    <t>DONAS X UNIDAD</t>
  </si>
  <si>
    <t>0601</t>
  </si>
  <si>
    <t xml:space="preserve">SANDWICH </t>
  </si>
  <si>
    <t>SANDWICH MIGA X 4 J Y Q</t>
  </si>
  <si>
    <t>0602</t>
  </si>
  <si>
    <t>SANDWICH MIGA X UNIDAD JAMON Y QUESO</t>
  </si>
  <si>
    <t>0604</t>
  </si>
  <si>
    <t>SANDWICH MIGA J Y Q X 12 UN</t>
  </si>
  <si>
    <t>0606</t>
  </si>
  <si>
    <t>SANDWICH MIGA SURTIDO X 1 UN</t>
  </si>
  <si>
    <t>0607</t>
  </si>
  <si>
    <t>SANDWICH MIGA SURTIDO X 12 UN</t>
  </si>
  <si>
    <t>0627</t>
  </si>
  <si>
    <t>SANDWICH MIGA NEGRO JAMON CRUDO</t>
  </si>
  <si>
    <t>0628</t>
  </si>
  <si>
    <t>SANDWICH MIGA NEGRO POLLO</t>
  </si>
  <si>
    <t>0605</t>
  </si>
  <si>
    <t>SANDWICH MIGA PAQUETE X 2 J Y Q</t>
  </si>
  <si>
    <t>0603</t>
  </si>
  <si>
    <t>PBT J Y Q</t>
  </si>
  <si>
    <t>0608</t>
  </si>
  <si>
    <t>CIABATA</t>
  </si>
  <si>
    <t>0609</t>
  </si>
  <si>
    <t>BAGUEL</t>
  </si>
  <si>
    <t>0610</t>
  </si>
  <si>
    <t>SANDWICH MILANESA DE POLLO</t>
  </si>
  <si>
    <t>0623</t>
  </si>
  <si>
    <t>SANDWICH MILANESA DE CARNE</t>
  </si>
  <si>
    <t>0622</t>
  </si>
  <si>
    <t>SANDWICH DE MILANESA DE BERENJENA</t>
  </si>
  <si>
    <t>0624</t>
  </si>
  <si>
    <t>SANDWICH PAN ARABE CON JAMON Y QUESO</t>
  </si>
  <si>
    <t>0626</t>
  </si>
  <si>
    <t>SANDWICH VEGETARIANO</t>
  </si>
  <si>
    <t>0629</t>
  </si>
  <si>
    <t>SANDWICH MATAMBRE</t>
  </si>
  <si>
    <t>0611</t>
  </si>
  <si>
    <t>BAGUETIN J Y QUESO</t>
  </si>
  <si>
    <t>0612</t>
  </si>
  <si>
    <t>BAGUETIN SALAME Y QUESO</t>
  </si>
  <si>
    <t>0613</t>
  </si>
  <si>
    <t>PAN DE MOLDE NEGRO JAMON Y QUESO</t>
  </si>
  <si>
    <t>0614</t>
  </si>
  <si>
    <t>PAN DE MOLDE NEGRO SALAME Y QUESO</t>
  </si>
  <si>
    <t>0615</t>
  </si>
  <si>
    <t>PAN DE MOLDE NEGRO CRUDO Y QUESO</t>
  </si>
  <si>
    <t>0616</t>
  </si>
  <si>
    <t>PAN DE MOLDE NEGRO POLLO QUESO BRIE Y RUCULA</t>
  </si>
  <si>
    <t>0620</t>
  </si>
  <si>
    <t>MIGA ESPECIALES (POLLO Y RUCULA/CRUDO Y QUESOS/OTROS)</t>
  </si>
  <si>
    <t>0625</t>
  </si>
  <si>
    <t>FOSFORITOS CON JAMON Y QUESO X 12</t>
  </si>
  <si>
    <t>0617</t>
  </si>
  <si>
    <t>BANDEJAS X 5 SACRAMENTOS</t>
  </si>
  <si>
    <t>0619</t>
  </si>
  <si>
    <t>BANDEJA X 4 SACRAMENTOS CRUDO, RUCULA Y QUESO</t>
  </si>
  <si>
    <t>0618</t>
  </si>
  <si>
    <t>DOCENA MEDIALUNAS JAMON Y QUESO</t>
  </si>
  <si>
    <t>0621</t>
  </si>
  <si>
    <t>CROISSANT CON JAMON Y QUESO</t>
  </si>
  <si>
    <t>CROISSANT CAFETERIA</t>
  </si>
  <si>
    <t>0630</t>
  </si>
  <si>
    <t>SANDWICH MILA BERENJENA</t>
  </si>
  <si>
    <t>0631</t>
  </si>
  <si>
    <t>SANDWICH ALEMANCITO CRUDO/QUESO/RUCULA</t>
  </si>
  <si>
    <t>0706</t>
  </si>
  <si>
    <t>COMIDA</t>
  </si>
  <si>
    <t>ENSALADAS DE FRUTAS</t>
  </si>
  <si>
    <t>0701</t>
  </si>
  <si>
    <t>ENSALADAS DE VERDURA</t>
  </si>
  <si>
    <t>0702</t>
  </si>
  <si>
    <t>ENSALADA CEASAR</t>
  </si>
  <si>
    <t>0704</t>
  </si>
  <si>
    <t>EMPANADA X 12</t>
  </si>
  <si>
    <t>0705</t>
  </si>
  <si>
    <t>EMPANADA X UNIDAD</t>
  </si>
  <si>
    <t>0707</t>
  </si>
  <si>
    <t>EMPANADA X UNIDAD CARNE</t>
  </si>
  <si>
    <t>0708</t>
  </si>
  <si>
    <t>EMPANADA X UNIDAD POLLO</t>
  </si>
  <si>
    <t>0709</t>
  </si>
  <si>
    <t>EMPANADA X UNIDAD VERDURA</t>
  </si>
  <si>
    <t>0716</t>
  </si>
  <si>
    <t>EMPANADA X UNIDAD J Y Q</t>
  </si>
  <si>
    <t>0703</t>
  </si>
  <si>
    <t>TARTA INDIVIDUAL JAMON Y QUESO</t>
  </si>
  <si>
    <t>0710</t>
  </si>
  <si>
    <t>TARTA INDIVIDUAL VERDURA</t>
  </si>
  <si>
    <t>0711</t>
  </si>
  <si>
    <t>TARTA INDIVIDUAL BROCOLI</t>
  </si>
  <si>
    <t>0712</t>
  </si>
  <si>
    <t>TARTA INDIVIDUAL TRICOLOR</t>
  </si>
  <si>
    <t>0713</t>
  </si>
  <si>
    <t>TARTA INDIVIDUAL ZAPALLITO</t>
  </si>
  <si>
    <t>0714</t>
  </si>
  <si>
    <t>TARTA INDIVIDUAL POLLO</t>
  </si>
  <si>
    <t>0715</t>
  </si>
  <si>
    <t>TARTA INDIVIDUAL CALABAZA</t>
  </si>
  <si>
    <t>0717</t>
  </si>
  <si>
    <t xml:space="preserve">WRAPS DE POLLO Y VERDURA X2 </t>
  </si>
  <si>
    <t>0718</t>
  </si>
  <si>
    <t>ROLLS VERDURA X</t>
  </si>
  <si>
    <t>0719</t>
  </si>
  <si>
    <t>ROLLS X 1</t>
  </si>
  <si>
    <t>0720</t>
  </si>
  <si>
    <t>TERRINA X KILO</t>
  </si>
  <si>
    <t>0721</t>
  </si>
  <si>
    <t>SANDWICH MATAMBRE DE POLLO</t>
  </si>
  <si>
    <t>0722</t>
  </si>
  <si>
    <t>BUDIN TRICOLOR</t>
  </si>
  <si>
    <t>0723</t>
  </si>
  <si>
    <t>LASANA</t>
  </si>
  <si>
    <t>0724</t>
  </si>
  <si>
    <t>CANELONES ACELGA</t>
  </si>
  <si>
    <t>0725</t>
  </si>
  <si>
    <t>CANELONES CALABAZA</t>
  </si>
  <si>
    <t>0726</t>
  </si>
  <si>
    <t>SUPREMA C/PAPAS</t>
  </si>
  <si>
    <t>0727</t>
  </si>
  <si>
    <t>TORTILLA DE PAPAS</t>
  </si>
  <si>
    <t>TORTAS</t>
  </si>
  <si>
    <t>0804</t>
  </si>
  <si>
    <t>TORTA GRANDE</t>
  </si>
  <si>
    <t>0805</t>
  </si>
  <si>
    <t>RICOTA</t>
  </si>
  <si>
    <t>0806</t>
  </si>
  <si>
    <t>PASTA FROLA BATATA</t>
  </si>
  <si>
    <t>0807</t>
  </si>
  <si>
    <t>BROWNIE</t>
  </si>
  <si>
    <t>0808</t>
  </si>
  <si>
    <t>FRUTILLA</t>
  </si>
  <si>
    <t>0809</t>
  </si>
  <si>
    <t>TOFFY</t>
  </si>
  <si>
    <t>0810</t>
  </si>
  <si>
    <t>COPITO</t>
  </si>
  <si>
    <t>0811</t>
  </si>
  <si>
    <t>CABSHA</t>
  </si>
  <si>
    <t>0812</t>
  </si>
  <si>
    <t>MANZANA</t>
  </si>
  <si>
    <t>0813</t>
  </si>
  <si>
    <t>LEMON PIE</t>
  </si>
  <si>
    <t>0814</t>
  </si>
  <si>
    <t>CHEESE CAKE CLASICO</t>
  </si>
  <si>
    <t>0815</t>
  </si>
  <si>
    <t>NUTELLA</t>
  </si>
  <si>
    <t>0816</t>
  </si>
  <si>
    <t>TIRAMISU</t>
  </si>
  <si>
    <t>0817</t>
  </si>
  <si>
    <t>MIL HOJAS</t>
  </si>
  <si>
    <t>0818</t>
  </si>
  <si>
    <t>CHOCOTORTA</t>
  </si>
  <si>
    <t>0819</t>
  </si>
  <si>
    <t>TORTAS GRANDES DE CUMPLEAÑOS ( PEDIDO X KG )</t>
  </si>
  <si>
    <t>0820</t>
  </si>
  <si>
    <t xml:space="preserve">CHAJA </t>
  </si>
  <si>
    <t>0821</t>
  </si>
  <si>
    <t>OREO</t>
  </si>
  <si>
    <t>0826</t>
  </si>
  <si>
    <t>MOLINO CHOCOLATE</t>
  </si>
  <si>
    <t>0827</t>
  </si>
  <si>
    <t>BALCARCE</t>
  </si>
  <si>
    <t>0828</t>
  </si>
  <si>
    <t>ADRIANA</t>
  </si>
  <si>
    <t>0829</t>
  </si>
  <si>
    <t>ROGEL</t>
  </si>
  <si>
    <t>0830</t>
  </si>
  <si>
    <t>COCO CON DDL</t>
  </si>
  <si>
    <t>0831</t>
  </si>
  <si>
    <t>PASTA FROLA MEMBRILLO</t>
  </si>
  <si>
    <t>0832</t>
  </si>
  <si>
    <t>CHESE CAKE MARACUYA</t>
  </si>
  <si>
    <t>0833</t>
  </si>
  <si>
    <t>CHESE CAKE FRUTILLA</t>
  </si>
  <si>
    <t>0834</t>
  </si>
  <si>
    <t>CHESE CAKE FRUTOS ROJOS</t>
  </si>
  <si>
    <t>0835</t>
  </si>
  <si>
    <t>SELVA NEGRA</t>
  </si>
  <si>
    <t>0836</t>
  </si>
  <si>
    <t>TOFFY C CHOCOLATE BLANCO</t>
  </si>
  <si>
    <t>0839</t>
  </si>
  <si>
    <t>IGLU DE CHOCOLATE</t>
  </si>
  <si>
    <t>0840</t>
  </si>
  <si>
    <t>KEY LIME</t>
  </si>
  <si>
    <t>0841</t>
  </si>
  <si>
    <t>MATILDA</t>
  </si>
  <si>
    <t>0842</t>
  </si>
  <si>
    <t>SUIZA</t>
  </si>
  <si>
    <t>0843</t>
  </si>
  <si>
    <t>CHEESE PISTACHO</t>
  </si>
  <si>
    <t>0844</t>
  </si>
  <si>
    <t>KEY LINE PIE</t>
  </si>
  <si>
    <t>0845</t>
  </si>
  <si>
    <t>BIZCOCHUELO VAINILLA C/DURAZNO</t>
  </si>
  <si>
    <t>0846</t>
  </si>
  <si>
    <t>CHEESE CAKE FRUTOS ROJOS BETTY</t>
  </si>
  <si>
    <t>0847</t>
  </si>
  <si>
    <t>BIZCOCHUELO C/DDL Y CREMA</t>
  </si>
  <si>
    <t>0848</t>
  </si>
  <si>
    <t>MARQUISE</t>
  </si>
  <si>
    <t>0849</t>
  </si>
  <si>
    <t>TORTA SACHER</t>
  </si>
  <si>
    <t>0850</t>
  </si>
  <si>
    <t>TORTA MOUSSE Y FRAMBUESA</t>
  </si>
  <si>
    <t>0851</t>
  </si>
  <si>
    <t>PAVLOVA</t>
  </si>
  <si>
    <t>0852</t>
  </si>
  <si>
    <t>FRUTILLA BASE GALLETITAS</t>
  </si>
  <si>
    <t>0853</t>
  </si>
  <si>
    <t>TORTA FRANUI</t>
  </si>
  <si>
    <t>0901</t>
  </si>
  <si>
    <t>PORCIONES</t>
  </si>
  <si>
    <t>BROWNIE Y LIMON COOKIES  PORCIONES</t>
  </si>
  <si>
    <t>0902</t>
  </si>
  <si>
    <t>BROWNIE SECO PORCION</t>
  </si>
  <si>
    <t>0903</t>
  </si>
  <si>
    <t>RICOTA PORCION</t>
  </si>
  <si>
    <t>0904</t>
  </si>
  <si>
    <t>MANZANA PORCION</t>
  </si>
  <si>
    <t>0905</t>
  </si>
  <si>
    <t>FROLA  PORCION</t>
  </si>
  <si>
    <t>0907</t>
  </si>
  <si>
    <t>MIL HOJAS  PORCION</t>
  </si>
  <si>
    <t>0908</t>
  </si>
  <si>
    <t>BIZCOCHUELO PORCION</t>
  </si>
  <si>
    <t>0928</t>
  </si>
  <si>
    <t>BIZCOCHUELO PORCION CON PISTACHO</t>
  </si>
  <si>
    <t>0909</t>
  </si>
  <si>
    <t>MOUSSE  PORCION</t>
  </si>
  <si>
    <t>0911</t>
  </si>
  <si>
    <t>CHOCOTORTA  PORCION</t>
  </si>
  <si>
    <t>0912</t>
  </si>
  <si>
    <t>LIMON ALMACEN PAN  PORCION</t>
  </si>
  <si>
    <t>0913</t>
  </si>
  <si>
    <t>TIRAMISU  PORCION</t>
  </si>
  <si>
    <t>0906</t>
  </si>
  <si>
    <t>LINGOTES</t>
  </si>
  <si>
    <t>0914</t>
  </si>
  <si>
    <t xml:space="preserve">LINGOTE CARROT CAKE </t>
  </si>
  <si>
    <t>0915</t>
  </si>
  <si>
    <t>LINGOTES CHOCOTORTA</t>
  </si>
  <si>
    <t>0916</t>
  </si>
  <si>
    <t>LINGOTES OREO</t>
  </si>
  <si>
    <t>0917</t>
  </si>
  <si>
    <t>LINGOTES KEY LINE</t>
  </si>
  <si>
    <t>0918</t>
  </si>
  <si>
    <t>LINGOTES BROWNIE</t>
  </si>
  <si>
    <t>0927</t>
  </si>
  <si>
    <t>LINGOTES RED VELVET</t>
  </si>
  <si>
    <t>0910</t>
  </si>
  <si>
    <t>CHEESE CAKE MINI</t>
  </si>
  <si>
    <t>0919</t>
  </si>
  <si>
    <t>CHEESE CAKE MINI TRADICIONAL</t>
  </si>
  <si>
    <t>0920</t>
  </si>
  <si>
    <t>CHEESE CAKE MINI FRUTILLA</t>
  </si>
  <si>
    <t>0921</t>
  </si>
  <si>
    <t>CHEESE CAKE MINI OREO</t>
  </si>
  <si>
    <t>0922</t>
  </si>
  <si>
    <t>CHEESE CAKE MINI TIRAMISU</t>
  </si>
  <si>
    <t>0923</t>
  </si>
  <si>
    <t>CHEESE CAKE MINI MOUSE</t>
  </si>
  <si>
    <t>0924</t>
  </si>
  <si>
    <t>0925</t>
  </si>
  <si>
    <t>FROLA  PORCION - MEMBRILLO-</t>
  </si>
  <si>
    <t>0926</t>
  </si>
  <si>
    <t>FROLA  PORCION -BATATA-</t>
  </si>
  <si>
    <t>0930</t>
  </si>
  <si>
    <t>RED  VELVET PORCION</t>
  </si>
  <si>
    <t>0932</t>
  </si>
  <si>
    <t>MATILDA PORCION</t>
  </si>
  <si>
    <t>0929</t>
  </si>
  <si>
    <t>CARROT CAKE PORCION</t>
  </si>
  <si>
    <t>0931</t>
  </si>
  <si>
    <t>PIONONO C DDL</t>
  </si>
  <si>
    <t>0933</t>
  </si>
  <si>
    <t>PIONONO ENTERO S/ NADA</t>
  </si>
  <si>
    <t>1001</t>
  </si>
  <si>
    <t>TORTAS INDIVIDUALES</t>
  </si>
  <si>
    <t>FLORA INDIVIDUAL MEMBRILLO</t>
  </si>
  <si>
    <t>1002</t>
  </si>
  <si>
    <t>RICOTA INDIVIDUAL</t>
  </si>
  <si>
    <t>1003</t>
  </si>
  <si>
    <t>LEMON PIE INDIVIDUAL</t>
  </si>
  <si>
    <t>1004</t>
  </si>
  <si>
    <t>MANZANA INDIVIDUAL</t>
  </si>
  <si>
    <t>1005</t>
  </si>
  <si>
    <t>FRUTILLA INDIVIDUAL</t>
  </si>
  <si>
    <t>1006</t>
  </si>
  <si>
    <t>BROWNIE CON ROCKLERST  INDIVIDUAL</t>
  </si>
  <si>
    <t>1007</t>
  </si>
  <si>
    <t>CABSHA  INDIVIDUAL</t>
  </si>
  <si>
    <t>1008</t>
  </si>
  <si>
    <t>TOFFY  INDIVUAL</t>
  </si>
  <si>
    <t>1009</t>
  </si>
  <si>
    <t>COPITO  INDIVIDUAL</t>
  </si>
  <si>
    <t>1010</t>
  </si>
  <si>
    <t>FROLA INDIVIDUAL BATATA</t>
  </si>
  <si>
    <t>1011</t>
  </si>
  <si>
    <t>COCO CON DDL PORCION</t>
  </si>
  <si>
    <t>1012</t>
  </si>
  <si>
    <t>COCO CON DDL INDIVIDUAL</t>
  </si>
  <si>
    <t>1013</t>
  </si>
  <si>
    <t>NUTELLA INDIVIDUAL</t>
  </si>
  <si>
    <t>1014</t>
  </si>
  <si>
    <t>KEY LIME INDIVIDUAL</t>
  </si>
  <si>
    <t>1015</t>
  </si>
  <si>
    <t>TARTA INDIVIDUAL PISTACHO</t>
  </si>
  <si>
    <t>1016</t>
  </si>
  <si>
    <t>MATILDA INDIVIDUAL</t>
  </si>
  <si>
    <t>1017</t>
  </si>
  <si>
    <t>POSTRECITOS</t>
  </si>
  <si>
    <t>1101</t>
  </si>
  <si>
    <t>GALLETITAS</t>
  </si>
  <si>
    <t xml:space="preserve">GALLETITAS DULCES </t>
  </si>
  <si>
    <t>1102</t>
  </si>
  <si>
    <t>GALLETITAS DULCES  X 1/4</t>
  </si>
  <si>
    <t>1105</t>
  </si>
  <si>
    <t>MERENGUES</t>
  </si>
  <si>
    <t>1107</t>
  </si>
  <si>
    <t>PEPAS MEMBRILLO X KG MAYORISTA</t>
  </si>
  <si>
    <t>1108</t>
  </si>
  <si>
    <t>COQUITOS x kg MAYORISTA</t>
  </si>
  <si>
    <t>1109</t>
  </si>
  <si>
    <t>ROSQUITAS ESPAÑOLAS x kg MAYORISTA</t>
  </si>
  <si>
    <t>1110</t>
  </si>
  <si>
    <t>SCONS DULCES x kg MAYORISTA</t>
  </si>
  <si>
    <t>1111</t>
  </si>
  <si>
    <t>SCONS DE QUESO x kg MAYORISTA</t>
  </si>
  <si>
    <t>1112</t>
  </si>
  <si>
    <t>PALITOS DE QUESO x kg MAYORISTA</t>
  </si>
  <si>
    <t>1114</t>
  </si>
  <si>
    <t>PEPAS BATATA X KG MAYORISTA</t>
  </si>
  <si>
    <t>1115</t>
  </si>
  <si>
    <t>COOKIES AVENA Y PASAS</t>
  </si>
  <si>
    <t>1116</t>
  </si>
  <si>
    <t>COOKIES VAINILLA C/ CHIPS CHO.</t>
  </si>
  <si>
    <t>1117</t>
  </si>
  <si>
    <t>COOKIES DE CHOCOLATE CON CHIPS</t>
  </si>
  <si>
    <t>1118</t>
  </si>
  <si>
    <t>COOKIES DE ROCKLERST</t>
  </si>
  <si>
    <t>1119</t>
  </si>
  <si>
    <t>PALMERITAS</t>
  </si>
  <si>
    <t>1120</t>
  </si>
  <si>
    <t>MEMBRILLOS</t>
  </si>
  <si>
    <t>1121</t>
  </si>
  <si>
    <t>PEPAS X KG</t>
  </si>
  <si>
    <t>1122</t>
  </si>
  <si>
    <t>COOKIES X KG</t>
  </si>
  <si>
    <t xml:space="preserve">BLISTERS </t>
  </si>
  <si>
    <t>1201</t>
  </si>
  <si>
    <t>BLISTERS</t>
  </si>
  <si>
    <t>PEPAS</t>
  </si>
  <si>
    <t>1202</t>
  </si>
  <si>
    <t>COPOS DE COCO</t>
  </si>
  <si>
    <t>1203</t>
  </si>
  <si>
    <t>1204</t>
  </si>
  <si>
    <t>ALFAJORCITO MAICENA</t>
  </si>
  <si>
    <t>1205</t>
  </si>
  <si>
    <t>ALFAJOR CHOCO</t>
  </si>
  <si>
    <t>1206</t>
  </si>
  <si>
    <t>PALMERAS CHOCO</t>
  </si>
  <si>
    <t>1207</t>
  </si>
  <si>
    <t>COPITOS CHOCO</t>
  </si>
  <si>
    <t>1208</t>
  </si>
  <si>
    <t>1209</t>
  </si>
  <si>
    <t>MASAS SECAS x 240kg</t>
  </si>
  <si>
    <t>1210</t>
  </si>
  <si>
    <t>BANDEJAS MASAS SECAS SALADAS</t>
  </si>
  <si>
    <t>1211</t>
  </si>
  <si>
    <t>MASAS FINAS KG</t>
  </si>
  <si>
    <t>1212</t>
  </si>
  <si>
    <t>TARRITOS DE COOKIES</t>
  </si>
  <si>
    <t>1213</t>
  </si>
  <si>
    <t>ALFAJORCITOS DE PISTACHO X 12</t>
  </si>
  <si>
    <t>1214</t>
  </si>
  <si>
    <t>ALFAJORCITOS DE NUEZ/ALMENDRA X 12</t>
  </si>
  <si>
    <t>Budines</t>
  </si>
  <si>
    <t>1302</t>
  </si>
  <si>
    <t>BUDINES</t>
  </si>
  <si>
    <t>MUFFINS</t>
  </si>
  <si>
    <t>1303</t>
  </si>
  <si>
    <t>BUDIN GRANDE MARMOLADO</t>
  </si>
  <si>
    <t>1304</t>
  </si>
  <si>
    <t>PORCION BUDIN</t>
  </si>
  <si>
    <t>1305</t>
  </si>
  <si>
    <t>BUDIN LIMON</t>
  </si>
  <si>
    <t>1306</t>
  </si>
  <si>
    <t>BUDIN ALMACEN PAN X2</t>
  </si>
  <si>
    <t>1307</t>
  </si>
  <si>
    <t>BUDIN GRANDE VAINILLA</t>
  </si>
  <si>
    <t>1308</t>
  </si>
  <si>
    <t>BUDIN GRANDE LIMON</t>
  </si>
  <si>
    <t>1309</t>
  </si>
  <si>
    <t>BUDIN NARANJA</t>
  </si>
  <si>
    <t>1310</t>
  </si>
  <si>
    <t>BUDIN VAINILLA C/CHIPS</t>
  </si>
  <si>
    <t>1311</t>
  </si>
  <si>
    <t>BUDIN VAINILLA C/ DDL</t>
  </si>
  <si>
    <t>1312</t>
  </si>
  <si>
    <t>BUDIN MARMOLADO ( VAINILLA Y CHOCOLATE )</t>
  </si>
  <si>
    <t>1313</t>
  </si>
  <si>
    <t>BUDIN CHOCOLATE</t>
  </si>
  <si>
    <t>1314</t>
  </si>
  <si>
    <t>BUDIN VEGANO</t>
  </si>
  <si>
    <t>1315</t>
  </si>
  <si>
    <t>BUDIN INTEGRAL</t>
  </si>
  <si>
    <t>1316</t>
  </si>
  <si>
    <t>BUDIN SOLO FRUTAS SECAS</t>
  </si>
  <si>
    <t>1317</t>
  </si>
  <si>
    <t>BUDIN MANZANA</t>
  </si>
  <si>
    <t>1318</t>
  </si>
  <si>
    <t>BUDIN OREO</t>
  </si>
  <si>
    <t>1319</t>
  </si>
  <si>
    <t>BUDIN  PISTACHO</t>
  </si>
  <si>
    <t>1320</t>
  </si>
  <si>
    <t>BUDIN VEGANO MANZANA</t>
  </si>
  <si>
    <t>1321</t>
  </si>
  <si>
    <t>BUDIN VEGANO FRUTOS DEL BOSQUE</t>
  </si>
  <si>
    <t>1322</t>
  </si>
  <si>
    <t>BUDIN CARROT CAKE ENTERO</t>
  </si>
  <si>
    <t>1323</t>
  </si>
  <si>
    <t>BUDIN GRANDE MANZANA</t>
  </si>
  <si>
    <t>1324</t>
  </si>
  <si>
    <t>BUDIN GRANDE CHOCOLATE</t>
  </si>
  <si>
    <t>1325</t>
  </si>
  <si>
    <t>BUDIN GRANDE LIMON C/AMAPOLAS</t>
  </si>
  <si>
    <t>PAN DULCE - ROSCA - VIENENSAS</t>
  </si>
  <si>
    <t>1401</t>
  </si>
  <si>
    <t>PAN DULCE</t>
  </si>
  <si>
    <t>PAN DULCE X PESO</t>
  </si>
  <si>
    <t>1402</t>
  </si>
  <si>
    <t>PAN DULCE CON CHIPS REP 1/2</t>
  </si>
  <si>
    <t>1404</t>
  </si>
  <si>
    <t>PANETONE REPARTO X KG</t>
  </si>
  <si>
    <t>1406</t>
  </si>
  <si>
    <t>PAN DULCE SOLO FRUTAS SECAS REP X 1/2 KG</t>
  </si>
  <si>
    <t>1407</t>
  </si>
  <si>
    <t>PAN DULCE TODAS LAS FRUTAS REP X 1/2 KG</t>
  </si>
  <si>
    <t>1408</t>
  </si>
  <si>
    <t>ROSCA</t>
  </si>
  <si>
    <t>ROSCA DE PASCUA X UNI</t>
  </si>
  <si>
    <t>1409</t>
  </si>
  <si>
    <t>ROSCA DE ALMENDRA X UNIDAD</t>
  </si>
  <si>
    <t>1410</t>
  </si>
  <si>
    <t>VIENESA</t>
  </si>
  <si>
    <t>1411</t>
  </si>
  <si>
    <t>PANETONE ROCHA PAN X KG</t>
  </si>
  <si>
    <t>1412</t>
  </si>
  <si>
    <t>PAN DULCE CON CHIPS ROCHA PAN 1/2</t>
  </si>
  <si>
    <t>1413</t>
  </si>
  <si>
    <t>PAN DULCE SOLO FRUTAS SECAS ROCHA PAN X 1/2 KG</t>
  </si>
  <si>
    <t>1414</t>
  </si>
  <si>
    <t>PAN DULCE TODAS LAS FRUTAS ROCHA PAN X 1/2 KG</t>
  </si>
  <si>
    <t>1501</t>
  </si>
  <si>
    <t>ALFAJORES</t>
  </si>
  <si>
    <t>NEGRO</t>
  </si>
  <si>
    <t>1502</t>
  </si>
  <si>
    <t xml:space="preserve">MAICENA </t>
  </si>
  <si>
    <t>1503</t>
  </si>
  <si>
    <t>TUBITOS MAICENA COOKIES</t>
  </si>
  <si>
    <t>1504</t>
  </si>
  <si>
    <t>TUBITOS ALMACEN PAN MAICENA</t>
  </si>
  <si>
    <t>1505</t>
  </si>
  <si>
    <t>COCO/ NEGRO/NUEZ GRANDES/NUTELLA</t>
  </si>
  <si>
    <t>1506</t>
  </si>
  <si>
    <t>ALFAJOR PISTACHO Y DDL</t>
  </si>
  <si>
    <t>1507</t>
  </si>
  <si>
    <t>ALFAJOR PISTACHO Y MERMELADA</t>
  </si>
  <si>
    <t>1508</t>
  </si>
  <si>
    <t xml:space="preserve">ALFAJOR MARIANA MAICENA/MEMBRILLO </t>
  </si>
  <si>
    <t>1509</t>
  </si>
  <si>
    <t>ALFAJOR MARIANA SIMPLE NEGRO/ BLANCO</t>
  </si>
  <si>
    <t>1510</t>
  </si>
  <si>
    <t>ALFAJOR MARIANA CORAZON FAMBRUESA/MANI</t>
  </si>
  <si>
    <t>1511</t>
  </si>
  <si>
    <t>ALFAJOR MARIANA TRIPLE NEGRO/ BLANCO</t>
  </si>
  <si>
    <t>1601</t>
  </si>
  <si>
    <t>PASTELITOS</t>
  </si>
  <si>
    <t>1602</t>
  </si>
  <si>
    <t>PASTELITOS X12</t>
  </si>
  <si>
    <t>1701</t>
  </si>
  <si>
    <t>CAFETERIA PARA LLEVAR</t>
  </si>
  <si>
    <t>CAFETERIA PARA LLEVAR SOLO</t>
  </si>
  <si>
    <t>1702</t>
  </si>
  <si>
    <t>CAFETERIA PARA LLEVAR SOLO GRANDE</t>
  </si>
  <si>
    <t>1703</t>
  </si>
  <si>
    <t>CAFETERIA PARA LLEVAR PROMO 3 MEDIAS LUN O 2 FACTURAS</t>
  </si>
  <si>
    <t>1704</t>
  </si>
  <si>
    <t>CAFETERIA PARA LLEVAR PROMO 3 MEDIAS LUN O 2 FACTURAS GRANDE</t>
  </si>
  <si>
    <t>1705</t>
  </si>
  <si>
    <t>TE CON LECHE SOLO</t>
  </si>
  <si>
    <t>1706+A1:D400</t>
  </si>
  <si>
    <t>TE CON LECHE SOLO MAS 3 FACTURAS</t>
  </si>
  <si>
    <t>1801</t>
  </si>
  <si>
    <t>REGALO</t>
  </si>
  <si>
    <t>BOX CUMPLE GRANDE</t>
  </si>
  <si>
    <t>1802</t>
  </si>
  <si>
    <t>BOX CUMPLE CHICO</t>
  </si>
  <si>
    <t>2001</t>
  </si>
  <si>
    <t>GASEOSAS</t>
  </si>
  <si>
    <t>LATA LINEA COCA</t>
  </si>
  <si>
    <t>2002</t>
  </si>
  <si>
    <t xml:space="preserve">LINEA COCA 500 </t>
  </si>
  <si>
    <t>2003</t>
  </si>
  <si>
    <t>LINEA COCA 1,75</t>
  </si>
  <si>
    <t>2004</t>
  </si>
  <si>
    <t>LATA LINEA PEPSI</t>
  </si>
  <si>
    <t>2005</t>
  </si>
  <si>
    <t>LINEA PEPSI 1,500</t>
  </si>
  <si>
    <t>2008</t>
  </si>
  <si>
    <t>LINEA PEPSI 500</t>
  </si>
  <si>
    <t>2026</t>
  </si>
  <si>
    <t>LINEA PEPSI X 1 LITRO</t>
  </si>
  <si>
    <t>2023</t>
  </si>
  <si>
    <t xml:space="preserve">PEPSI PETIT </t>
  </si>
  <si>
    <t>2006</t>
  </si>
  <si>
    <t>AGUA NESTLE X 500</t>
  </si>
  <si>
    <t>2007</t>
  </si>
  <si>
    <t>AGUA NESTLE X 1,500</t>
  </si>
  <si>
    <t>2020</t>
  </si>
  <si>
    <t>AGUA SMART X 500</t>
  </si>
  <si>
    <t>2021</t>
  </si>
  <si>
    <t>AGUA SMART X 1,500</t>
  </si>
  <si>
    <t>2024</t>
  </si>
  <si>
    <t>AGUA ECO DE LOS ANDES 850 CC</t>
  </si>
  <si>
    <t>2017</t>
  </si>
  <si>
    <t>PLACER X 500</t>
  </si>
  <si>
    <t>2018</t>
  </si>
  <si>
    <t>PLACER X 1,500</t>
  </si>
  <si>
    <t>2009</t>
  </si>
  <si>
    <t>BAGGIO FRESH X 600</t>
  </si>
  <si>
    <t>2010</t>
  </si>
  <si>
    <t>BAGGIO FRESH X 1,500</t>
  </si>
  <si>
    <t>2011</t>
  </si>
  <si>
    <t>BAGGIO CHICO</t>
  </si>
  <si>
    <t>2012</t>
  </si>
  <si>
    <t>BAGGIO GRANDE X 1LT</t>
  </si>
  <si>
    <t>2025</t>
  </si>
  <si>
    <t>JUGOS ESTANCIAS</t>
  </si>
  <si>
    <t>2013</t>
  </si>
  <si>
    <t>CITRIC 250</t>
  </si>
  <si>
    <t>2014</t>
  </si>
  <si>
    <t>CITRIC 500</t>
  </si>
  <si>
    <t>2015</t>
  </si>
  <si>
    <t>CITRIC LITRO</t>
  </si>
  <si>
    <t>2016</t>
  </si>
  <si>
    <t>GATORADE X 500</t>
  </si>
  <si>
    <t>2019</t>
  </si>
  <si>
    <t>POWERADE</t>
  </si>
  <si>
    <t>2022</t>
  </si>
  <si>
    <t>MONSTER LATA</t>
  </si>
  <si>
    <t>RED BULL</t>
  </si>
  <si>
    <t>RED BULL FREE</t>
  </si>
  <si>
    <t>2101</t>
  </si>
  <si>
    <t>VARIOS</t>
  </si>
  <si>
    <t>YERBA PLAYADITO</t>
  </si>
  <si>
    <t>2115</t>
  </si>
  <si>
    <t>YERBA MANANITA</t>
  </si>
  <si>
    <t>2116</t>
  </si>
  <si>
    <t>YERBA UNION</t>
  </si>
  <si>
    <t>2102</t>
  </si>
  <si>
    <t>YERBA TARAGUI</t>
  </si>
  <si>
    <t>2104</t>
  </si>
  <si>
    <t>PROVEEDOR NUEVO</t>
  </si>
  <si>
    <t>CHURRO</t>
  </si>
  <si>
    <t>2105</t>
  </si>
  <si>
    <t>CHURRO RELLENO</t>
  </si>
  <si>
    <t>2106</t>
  </si>
  <si>
    <t>CHURRO RELLENO + BAÑO</t>
  </si>
  <si>
    <t>2107</t>
  </si>
  <si>
    <t>MINICHURROS</t>
  </si>
  <si>
    <t>2108</t>
  </si>
  <si>
    <t>CHURROS BOMBON</t>
  </si>
  <si>
    <t>2109</t>
  </si>
  <si>
    <t>DONUTS Y BERLINESAS</t>
  </si>
  <si>
    <t>2110</t>
  </si>
  <si>
    <t>D Y B RELLENAS</t>
  </si>
  <si>
    <t>2111</t>
  </si>
  <si>
    <t>D Y B RELLENAS + BAÑO</t>
  </si>
  <si>
    <t>2112</t>
  </si>
  <si>
    <t>D Y B RELLENAS + BAÑO + GLASEADO</t>
  </si>
  <si>
    <t>2113</t>
  </si>
  <si>
    <t>PASTELITOS (MEM, BAT, DDL)</t>
  </si>
  <si>
    <t>2114</t>
  </si>
  <si>
    <t>D Y B RELLENAS + BAÑO x UNIDAD</t>
  </si>
  <si>
    <t>2117</t>
  </si>
  <si>
    <t xml:space="preserve">YOGURT  DAHI FIRME </t>
  </si>
  <si>
    <t>2118</t>
  </si>
  <si>
    <t>YOGURT DAHI BATIDO</t>
  </si>
  <si>
    <t>SNACKS</t>
  </si>
  <si>
    <t>2150</t>
  </si>
  <si>
    <t>LAYS CLASICAS X 20GR</t>
  </si>
  <si>
    <t>2151</t>
  </si>
  <si>
    <t>LAYS CLASICAS X 45GR</t>
  </si>
  <si>
    <t>2152</t>
  </si>
  <si>
    <t>LAYS CLASICAS X 85GR</t>
  </si>
  <si>
    <t>2153</t>
  </si>
  <si>
    <t>LAYS CLASICAS X 145GR</t>
  </si>
  <si>
    <t>2156</t>
  </si>
  <si>
    <t>LAYS ONDAS X 30 GR</t>
  </si>
  <si>
    <t>2154</t>
  </si>
  <si>
    <t>QUESO Y PIM - CEBOLLA - KETCHUP</t>
  </si>
  <si>
    <t>2155</t>
  </si>
  <si>
    <t>JAMON SERRANO - QUESO Y CEB</t>
  </si>
  <si>
    <t>LAYS ESPECIALES X 85 GR</t>
  </si>
  <si>
    <t>2157</t>
  </si>
  <si>
    <t>JAMON SERRANO - QUESO Y CEB 77 GRS</t>
  </si>
  <si>
    <t>2158</t>
  </si>
  <si>
    <t>DORITOS X 40GR</t>
  </si>
  <si>
    <t>2159</t>
  </si>
  <si>
    <t>DORITOS DINAMITA  X 33GR</t>
  </si>
  <si>
    <t>2160</t>
  </si>
  <si>
    <t>DORITOS X 77GR</t>
  </si>
  <si>
    <t>2161</t>
  </si>
  <si>
    <t>DORITOS QUESO X 45GR</t>
  </si>
  <si>
    <t>2162</t>
  </si>
  <si>
    <t>DORITOS QUESO X 85GR</t>
  </si>
  <si>
    <t>2163</t>
  </si>
  <si>
    <t>CHEETOS X 23GR</t>
  </si>
  <si>
    <t>2164</t>
  </si>
  <si>
    <t>CHEETOS QUESO/QUESO CREMA X 43GR</t>
  </si>
  <si>
    <t>2165</t>
  </si>
  <si>
    <t>CHEETOS QUESO X 94GR</t>
  </si>
  <si>
    <t>2166</t>
  </si>
  <si>
    <t>3 D 43GR</t>
  </si>
  <si>
    <t>2167</t>
  </si>
  <si>
    <t>3 D 94GR</t>
  </si>
  <si>
    <t>2168</t>
  </si>
  <si>
    <t>RUEDITAS 40GR</t>
  </si>
  <si>
    <t>2169</t>
  </si>
  <si>
    <t>RUEDITAS 84GR</t>
  </si>
  <si>
    <t>2170</t>
  </si>
  <si>
    <t>PEP COMUN 40GR</t>
  </si>
  <si>
    <t>2171</t>
  </si>
  <si>
    <t>PEP COMUN 84GR</t>
  </si>
  <si>
    <t>2172</t>
  </si>
  <si>
    <t>PEP COMUN 120GR</t>
  </si>
  <si>
    <t>2173</t>
  </si>
  <si>
    <t>MANI</t>
  </si>
  <si>
    <t>2174</t>
  </si>
  <si>
    <t>PEPAS PEHUAMAR</t>
  </si>
  <si>
    <t>2175</t>
  </si>
  <si>
    <t>PEP RAMITAS QUESO X40GR</t>
  </si>
  <si>
    <t>2176</t>
  </si>
  <si>
    <t>PEP RAMITAS QUESO X84GR</t>
  </si>
  <si>
    <t>2201</t>
  </si>
  <si>
    <t>LASERENISIMA</t>
  </si>
  <si>
    <t>LECHE SACHET</t>
  </si>
  <si>
    <t>2202</t>
  </si>
  <si>
    <t>LECHE LARGAVIDA</t>
  </si>
  <si>
    <t>2203</t>
  </si>
  <si>
    <t>CINDOR</t>
  </si>
  <si>
    <t>2204</t>
  </si>
  <si>
    <t>CINDOR BRICK</t>
  </si>
  <si>
    <t>2205</t>
  </si>
  <si>
    <t>CHOCO TRES NIÑAS X 200</t>
  </si>
  <si>
    <t>2206</t>
  </si>
  <si>
    <t>CHOCO TRES NIÑAS X 1 LTR</t>
  </si>
  <si>
    <t>2207</t>
  </si>
  <si>
    <t>CHOCO BAGGIO X 200</t>
  </si>
  <si>
    <t>2208</t>
  </si>
  <si>
    <t>CINDOR CHICA</t>
  </si>
  <si>
    <t>2209</t>
  </si>
  <si>
    <t>CINDOR GRANDE</t>
  </si>
  <si>
    <t>2210</t>
  </si>
  <si>
    <t>CHOCOLATADA NESQUIK</t>
  </si>
  <si>
    <t>PRODUCTOS SIN TACC</t>
  </si>
  <si>
    <t>2250</t>
  </si>
  <si>
    <t>Pizza Individual Con queso</t>
  </si>
  <si>
    <t>2251</t>
  </si>
  <si>
    <t>Galletitas de queso</t>
  </si>
  <si>
    <t>2252</t>
  </si>
  <si>
    <t>Tarta Calabaza y queso</t>
  </si>
  <si>
    <t>2253</t>
  </si>
  <si>
    <t>Tarta Jamón y queso</t>
  </si>
  <si>
    <t>2254</t>
  </si>
  <si>
    <t>Tarta Zapallitos</t>
  </si>
  <si>
    <t>2255</t>
  </si>
  <si>
    <t>Alfajorcitos de maicena x6</t>
  </si>
  <si>
    <t>2256</t>
  </si>
  <si>
    <t>Alfajor de chocolate Negro</t>
  </si>
  <si>
    <t>2257</t>
  </si>
  <si>
    <t>Cuadrado Brownie con nueces</t>
  </si>
  <si>
    <t>2258</t>
  </si>
  <si>
    <t>Cuadrado Carrot Cake</t>
  </si>
  <si>
    <t>2259</t>
  </si>
  <si>
    <t>Cuadrado Coco y dulce de leche</t>
  </si>
  <si>
    <t>2260</t>
  </si>
  <si>
    <t xml:space="preserve">Cuadrado Lemonie </t>
  </si>
  <si>
    <t>2261</t>
  </si>
  <si>
    <t>Budin de Chips de chocolate</t>
  </si>
  <si>
    <t>2262</t>
  </si>
  <si>
    <t>Cookis x 2 un</t>
  </si>
  <si>
    <t>2263</t>
  </si>
  <si>
    <t>Prepizza</t>
  </si>
  <si>
    <t>2264</t>
  </si>
  <si>
    <t>Pan d Molde</t>
  </si>
  <si>
    <t>2265</t>
  </si>
  <si>
    <t>Budin de Limon</t>
  </si>
  <si>
    <t>2266</t>
  </si>
  <si>
    <t>Pan de Molde</t>
  </si>
  <si>
    <t>2267</t>
  </si>
  <si>
    <t>Budin de Naranja y Amapola</t>
  </si>
  <si>
    <t>2268</t>
  </si>
  <si>
    <t>Alfa Cookie</t>
  </si>
  <si>
    <t>1901</t>
  </si>
  <si>
    <t>INSUMOS</t>
  </si>
  <si>
    <t>BOLSA DE HARINA 0000</t>
  </si>
  <si>
    <t>1902</t>
  </si>
  <si>
    <t>LEVADURA</t>
  </si>
  <si>
    <t>PASCUAS</t>
  </si>
  <si>
    <t>2050</t>
  </si>
  <si>
    <t xml:space="preserve">Huevos kinder 150gr </t>
  </si>
  <si>
    <t>2051</t>
  </si>
  <si>
    <t>Huevos kinder 100 gr.</t>
  </si>
  <si>
    <t>2052</t>
  </si>
  <si>
    <t>Roscas Almacen especial ( higo Y Cereza )</t>
  </si>
  <si>
    <t>2053</t>
  </si>
  <si>
    <t xml:space="preserve">Roscas pan fresh comun </t>
  </si>
  <si>
    <t>2054</t>
  </si>
  <si>
    <t>Roscas almacen pan</t>
  </si>
  <si>
    <t>2055</t>
  </si>
  <si>
    <t>Roscas mayorista  (cocida)</t>
  </si>
  <si>
    <t>2056</t>
  </si>
  <si>
    <t>Roscas mayorista cruda (lata cruda 3 unid)</t>
  </si>
  <si>
    <t>2057</t>
  </si>
  <si>
    <t>Roscas Almendra</t>
  </si>
  <si>
    <t>2058</t>
  </si>
  <si>
    <t>Medio huevo relleno</t>
  </si>
  <si>
    <t>2059</t>
  </si>
  <si>
    <t>Huevo (con copa del mundo) 225 gr</t>
  </si>
  <si>
    <t>2060</t>
  </si>
  <si>
    <t xml:space="preserve">Copa del mundo </t>
  </si>
  <si>
    <t>2061</t>
  </si>
  <si>
    <t>Huevos grandes Almacen ( 350 grs )</t>
  </si>
  <si>
    <t>2062</t>
  </si>
  <si>
    <t xml:space="preserve">Chupetines chicos </t>
  </si>
  <si>
    <t>2063</t>
  </si>
  <si>
    <t>Chupetines medianos ( 40 grs )</t>
  </si>
  <si>
    <t>2064</t>
  </si>
  <si>
    <t xml:space="preserve">Chupetines grandes </t>
  </si>
  <si>
    <t>2065</t>
  </si>
  <si>
    <t xml:space="preserve">Roscas rellenas </t>
  </si>
  <si>
    <t>LATA COCIDA</t>
  </si>
  <si>
    <t>CRUDO</t>
  </si>
  <si>
    <t>2302</t>
  </si>
  <si>
    <t>LATA ZAPATILLA</t>
  </si>
  <si>
    <t>9999</t>
  </si>
  <si>
    <t>LATA</t>
  </si>
  <si>
    <t>LATA VACIA</t>
  </si>
  <si>
    <t>LATA MEDIALUNA MANTECA</t>
  </si>
  <si>
    <t>LATA SURTIDO DE GRASA</t>
  </si>
  <si>
    <t>LATA SURTIDO DE MANTECA</t>
  </si>
  <si>
    <t>LATA FIGASA</t>
  </si>
  <si>
    <t xml:space="preserve">LATA NEGRITO   </t>
  </si>
  <si>
    <t>LATA GALLETA</t>
  </si>
  <si>
    <t>LATA GALLETA DE QUESO</t>
  </si>
  <si>
    <t>LATA DE GALLETA DE CHICHA</t>
  </si>
  <si>
    <t>2312</t>
  </si>
  <si>
    <t>LATA SABORIZADO</t>
  </si>
  <si>
    <t>2313</t>
  </si>
  <si>
    <t>LATA BIZCOCHO</t>
  </si>
  <si>
    <t>2314</t>
  </si>
  <si>
    <t>LATA CHIPA</t>
  </si>
  <si>
    <t>LATA MEDIALUNA DE GRASA</t>
  </si>
  <si>
    <t>LATA MEDIALUNA CON DDL O PASTELERA</t>
  </si>
  <si>
    <t>LATA LENGUITA</t>
  </si>
  <si>
    <t>LATA PALITO DE GRASA</t>
  </si>
  <si>
    <t>LATA HOJALDRE CON DDL</t>
  </si>
  <si>
    <t>2320</t>
  </si>
  <si>
    <t>LATA HOJALDRE CON PASTE Y MEM</t>
  </si>
  <si>
    <t>LATA TORTA NEGRA</t>
  </si>
  <si>
    <t>2323</t>
  </si>
  <si>
    <t>LATA CUERNITO</t>
  </si>
  <si>
    <t>LATA SURTIDO DOBLE MANTECA</t>
  </si>
  <si>
    <t>2355</t>
  </si>
  <si>
    <t>CREMONITAS X 15 UNIDADES</t>
  </si>
  <si>
    <t>2356</t>
  </si>
  <si>
    <t>LATA ROCETA</t>
  </si>
  <si>
    <t>2357</t>
  </si>
  <si>
    <t>LATA FIGASA SABORIZADA</t>
  </si>
  <si>
    <t>2401</t>
  </si>
  <si>
    <t>LATA CRUDA</t>
  </si>
  <si>
    <t>BAGUETTE (CRUDO)</t>
  </si>
  <si>
    <t>2402</t>
  </si>
  <si>
    <t>BAGUETTIN (CRUDO)</t>
  </si>
  <si>
    <t>2403</t>
  </si>
  <si>
    <t>FLAUTITA (CRUDO)</t>
  </si>
  <si>
    <t>2404</t>
  </si>
  <si>
    <t>MIGÑONCITO (CRUDO)</t>
  </si>
  <si>
    <t>2405</t>
  </si>
  <si>
    <t>SIN SAL (CRUDO)</t>
  </si>
  <si>
    <t>2406</t>
  </si>
  <si>
    <t>MILONGUITAS (CRUDO)</t>
  </si>
  <si>
    <t>2407</t>
  </si>
  <si>
    <t>REDONDO DE SALVADO V (CRUDO)</t>
  </si>
  <si>
    <t>2409</t>
  </si>
  <si>
    <t>CHIPS (CRUDO)</t>
  </si>
  <si>
    <t>2410</t>
  </si>
  <si>
    <t>PAN HAMBURGUESA CHICO ( 20 UNIDADES ) (CRUDO)</t>
  </si>
  <si>
    <t>2411</t>
  </si>
  <si>
    <t>PAN HAMBURGUESA GRANDE (CRUDO)</t>
  </si>
  <si>
    <t>2413</t>
  </si>
  <si>
    <t>PAN PANCHO CHICO ( 30 UNIDADES ) (CRUDO)</t>
  </si>
  <si>
    <t>2414</t>
  </si>
  <si>
    <t>PAN SUPERPANCHO ( 30 UNIDADES ) (CRUDO)</t>
  </si>
  <si>
    <t>2416</t>
  </si>
  <si>
    <t>PAN DE CAMPO (CRUDO)</t>
  </si>
  <si>
    <t>2417</t>
  </si>
  <si>
    <t>PAN ARABE ( lata cruda x 6 ) (CRUDO)</t>
  </si>
  <si>
    <t>TORTA FRITA X UNIDAD (CRUDO)</t>
  </si>
  <si>
    <t>2419</t>
  </si>
  <si>
    <t>PLANCHA CON CHICHARRON ( 3,1 KG ) (CRUDO)</t>
  </si>
  <si>
    <t>2420</t>
  </si>
  <si>
    <t>PLANCHA CON GRASA (3,5 KG) (CRUDO)</t>
  </si>
  <si>
    <t>2421</t>
  </si>
  <si>
    <t>CUADRADITOS (CRUDO)</t>
  </si>
  <si>
    <t>CHIPA (CRUDO)</t>
  </si>
  <si>
    <t>2423</t>
  </si>
  <si>
    <t>CREMONAS (CRUDO)</t>
  </si>
  <si>
    <t>2424</t>
  </si>
  <si>
    <t>CREMONAS AKTIVAS (C/ CEREAL) (CRUDO)</t>
  </si>
  <si>
    <t>2425</t>
  </si>
  <si>
    <t>CREMONITAS (CRUDO)</t>
  </si>
  <si>
    <t>2426</t>
  </si>
  <si>
    <t>CREMONA CON CHICHARRON (CRUDO)</t>
  </si>
  <si>
    <t>2428</t>
  </si>
  <si>
    <t>CUERNITOS (CRUDO)</t>
  </si>
  <si>
    <t>2429</t>
  </si>
  <si>
    <t>CREMONA J Y Q (CRUDO)</t>
  </si>
  <si>
    <t>2430</t>
  </si>
  <si>
    <t>CREMONA DULCE (CRUDO)</t>
  </si>
  <si>
    <t>2431</t>
  </si>
  <si>
    <t>FIGASSA (CRUDO)</t>
  </si>
  <si>
    <t>2442</t>
  </si>
  <si>
    <t>CROISSANT (CRUDO)</t>
  </si>
  <si>
    <t>2443</t>
  </si>
  <si>
    <t>MEDIA LUNA MANTECA (CRUDO)</t>
  </si>
  <si>
    <t>2444</t>
  </si>
  <si>
    <t>VIGILANTES MANTECA (CRUDO)</t>
  </si>
  <si>
    <t>2445</t>
  </si>
  <si>
    <t>PAN DE LECHE (CRUDO)</t>
  </si>
  <si>
    <t>2446</t>
  </si>
  <si>
    <t>TORTITA NEGRA (CRUDO)</t>
  </si>
  <si>
    <t>2448</t>
  </si>
  <si>
    <t>SURTIDO DE MANTECA (CRUDO)</t>
  </si>
  <si>
    <t>2449</t>
  </si>
  <si>
    <t>LENGUITA FACTURAS (CRUDO)</t>
  </si>
  <si>
    <t>2450</t>
  </si>
  <si>
    <t>MEDIA LUNA GRASA (CRUDO)</t>
  </si>
  <si>
    <t>2451</t>
  </si>
  <si>
    <t>PALITOS DE GRASA (CRUDO)</t>
  </si>
  <si>
    <t>2452</t>
  </si>
  <si>
    <t>SACRAMENTO  (CRUDO)</t>
  </si>
  <si>
    <t>2454</t>
  </si>
  <si>
    <t>SURTIDO DE GRASA (VIGILANTE) (CRUDO)</t>
  </si>
  <si>
    <t>2455</t>
  </si>
  <si>
    <t>RECTANGULOS HOJALDRE ( 30 UNIDADES ) (CRUDO)</t>
  </si>
  <si>
    <t>2456</t>
  </si>
  <si>
    <t>VAL AU VENT ( REDONDO ) (CRUDO)</t>
  </si>
  <si>
    <t>2457</t>
  </si>
  <si>
    <t>PALMERAS (CRUDO)</t>
  </si>
  <si>
    <t>2458</t>
  </si>
  <si>
    <t>CAÑONCITOS (CRUDO)</t>
  </si>
  <si>
    <t>2460</t>
  </si>
  <si>
    <t>LATA PEBETE ( 25 UNIDADES ) (CRUDO)</t>
  </si>
  <si>
    <t>LATA SABORIZADO (CRUDO)</t>
  </si>
  <si>
    <t>2463</t>
  </si>
  <si>
    <t>ROSCA DE PASCUA X LATA (3uni) (CRUDO)</t>
  </si>
  <si>
    <t>2470</t>
  </si>
  <si>
    <t>CUADRADITOS CON CHICHARRON (CRUDO)</t>
  </si>
  <si>
    <t>2471</t>
  </si>
  <si>
    <t>PALITOS DE QUESO  (1,0 KG ) (CRUDO)</t>
  </si>
  <si>
    <t>2472</t>
  </si>
  <si>
    <t>GALLETA DE QUESO (1,5KG ) (CRUDO)</t>
  </si>
  <si>
    <t>2473</t>
  </si>
  <si>
    <t>SCON DE QUESO (1,7 KG ) (CRUDO)</t>
  </si>
  <si>
    <t>2475</t>
  </si>
  <si>
    <t>CUADRADOS DE HOJALDRE ( 30 UNIDADES ) (CRUDO)</t>
  </si>
  <si>
    <t>2480</t>
  </si>
  <si>
    <t>ZAPATILLAS ( 12 UNIDADES ) (CRUDO)</t>
  </si>
  <si>
    <t>2481</t>
  </si>
  <si>
    <t>CUADRADITOS CON AKTIVO (CRUDO)</t>
  </si>
  <si>
    <t>2484</t>
  </si>
  <si>
    <t>BIZCOCHITO DE GRASA (CRUDO)</t>
  </si>
  <si>
    <t>2485</t>
  </si>
  <si>
    <t>SURTIDO DOBLE MANTECA (CRUDO)</t>
  </si>
  <si>
    <t>2486</t>
  </si>
  <si>
    <t>PAN DE CAMPO ZEPELLING BLANCO (CRUDO)</t>
  </si>
  <si>
    <t>2487</t>
  </si>
  <si>
    <t>PAN DE CAMPO ZEPELLING MULTICEREAL (CRUDO)</t>
  </si>
  <si>
    <t>2489</t>
  </si>
  <si>
    <t>CREMONITAS C/ CHICHARRON (CRUDO)</t>
  </si>
  <si>
    <t>2490</t>
  </si>
  <si>
    <t>LATA TRENSAS C/AKTIVO (CRUDO)</t>
  </si>
  <si>
    <t>ROCETA CRUDA (CRUDO)</t>
  </si>
  <si>
    <t>2493</t>
  </si>
  <si>
    <t>ALEMANAS CRUDA (CRUDO)</t>
  </si>
  <si>
    <t>2494</t>
  </si>
  <si>
    <t>VIENESA CRUDA (CRUDO)</t>
  </si>
  <si>
    <t>2497</t>
  </si>
  <si>
    <t>TIRAS CRUDO (36) (CRUDO)</t>
  </si>
  <si>
    <t>2498</t>
  </si>
  <si>
    <t>TAPONCITOS CRUDO (35) (CRUDO)</t>
  </si>
  <si>
    <t>2500</t>
  </si>
  <si>
    <t>FIGASSA SABORIZADA 2,5kg (CRUDO)</t>
  </si>
  <si>
    <t>2501</t>
  </si>
  <si>
    <t>CIABATA    (CRUDO)</t>
  </si>
  <si>
    <t>2502</t>
  </si>
  <si>
    <t>PAN DE CHORI   (3KG O 25 UNI) (CRUDO)</t>
  </si>
  <si>
    <t>2503</t>
  </si>
  <si>
    <t>PAN DE PIZZA (3 KG O 10 UNI) (CRUDO)</t>
  </si>
  <si>
    <t>ALEMANCITOS (3,1/3,3 kg) (CRUDO)</t>
  </si>
  <si>
    <t>2505</t>
  </si>
  <si>
    <t>BOLLITOS DE MANTECA (2,5 KG) (CRUDO)</t>
  </si>
  <si>
    <t>2506</t>
  </si>
  <si>
    <t>EMPANADAS DE CARNE X 24 UNIDADES (CRUDO)</t>
  </si>
  <si>
    <t>2507</t>
  </si>
  <si>
    <t>EMPANADAS DE J Y Q X 24 UNIDADES (CRUDO)</t>
  </si>
  <si>
    <t>2508</t>
  </si>
  <si>
    <t>EMPANADAS DE POLLO X 24 UNIDADES (CRUDO)</t>
  </si>
  <si>
    <t>2509</t>
  </si>
  <si>
    <t>LATA TORTA FRITA X 48 UNIDADES (2,9kg crudo) (CRUDO)</t>
  </si>
  <si>
    <t>2510</t>
  </si>
  <si>
    <t>SLIDER 70 UNIDADES (CRUDO)</t>
  </si>
  <si>
    <t>2511</t>
  </si>
  <si>
    <t>BOLLITOS VV (CRUDO)</t>
  </si>
  <si>
    <t>2512</t>
  </si>
  <si>
    <t>BOLLITOS C/ SESAMO (CRUDO)</t>
  </si>
  <si>
    <t>2513</t>
  </si>
  <si>
    <t>MEDIALUNAS DE MANTECA PREMIUM</t>
  </si>
  <si>
    <t>2514</t>
  </si>
  <si>
    <t>PAN DE CAMPO MEDIANO  X4 UNIDADES  (CRUDO)</t>
  </si>
  <si>
    <t>2515</t>
  </si>
  <si>
    <t>CAÑONCITOS DE MANTECA (CRUDO)</t>
  </si>
  <si>
    <t>2516</t>
  </si>
  <si>
    <t>CROISSANT MANTECA X 12 UNI</t>
  </si>
  <si>
    <t>2517</t>
  </si>
  <si>
    <t>ROLLS JAMON Y QUESO X 20 UNIDADES</t>
  </si>
  <si>
    <t>2518</t>
  </si>
  <si>
    <t>PAIN CHOCOLATE (CRUDO)</t>
  </si>
  <si>
    <t>2519</t>
  </si>
  <si>
    <t>ROLLS (CRUDO)</t>
  </si>
  <si>
    <t>INSUMOS PARA COMERCIALIZAR -FACTURAR</t>
  </si>
  <si>
    <t>10001</t>
  </si>
  <si>
    <t>COMERCIALIZACION</t>
  </si>
  <si>
    <t>Azucar</t>
  </si>
  <si>
    <t>10002</t>
  </si>
  <si>
    <t>Azucar "Ingenio Marapa "</t>
  </si>
  <si>
    <t>10003</t>
  </si>
  <si>
    <t>Huevos</t>
  </si>
  <si>
    <t>10004</t>
  </si>
  <si>
    <t>Polvo de hornear "Flor"</t>
  </si>
  <si>
    <t>10005</t>
  </si>
  <si>
    <t xml:space="preserve">Queso en barra "margarita" </t>
  </si>
  <si>
    <t>10006</t>
  </si>
  <si>
    <t>Jamon Cocido Cuadrado</t>
  </si>
  <si>
    <t>10007</t>
  </si>
  <si>
    <t>Barra de Salame "Sello de Plata"</t>
  </si>
  <si>
    <t>10008</t>
  </si>
  <si>
    <t>Ddl "Don Uribe"</t>
  </si>
  <si>
    <t>10009</t>
  </si>
  <si>
    <t>DDL JOSEFINA</t>
  </si>
  <si>
    <t>10010</t>
  </si>
  <si>
    <t>10011</t>
  </si>
  <si>
    <t>Mermelada Membrillo Taxonera</t>
  </si>
  <si>
    <t>10012</t>
  </si>
  <si>
    <t xml:space="preserve">Mayonesa natura sache </t>
  </si>
  <si>
    <t>10013</t>
  </si>
  <si>
    <t>Mayonesa natura Individual</t>
  </si>
  <si>
    <t>10014</t>
  </si>
  <si>
    <t>Miel "Don Carlos"</t>
  </si>
  <si>
    <t>10015</t>
  </si>
  <si>
    <t xml:space="preserve">Leche yatasto </t>
  </si>
  <si>
    <t>10016</t>
  </si>
  <si>
    <t>Leche la serenísima SACHET</t>
  </si>
  <si>
    <t>10017</t>
  </si>
  <si>
    <t>Pulpa para brillo "pulpalist"</t>
  </si>
  <si>
    <t>10018</t>
  </si>
  <si>
    <t>Miga</t>
  </si>
  <si>
    <t>10019</t>
  </si>
  <si>
    <t xml:space="preserve">Crema Pastelera  </t>
  </si>
  <si>
    <t>10020</t>
  </si>
  <si>
    <t>Salsa de Soja vanoli</t>
  </si>
  <si>
    <t>10021</t>
  </si>
  <si>
    <t>Tapa para empanadas</t>
  </si>
  <si>
    <t>10022</t>
  </si>
  <si>
    <t>Queso Cremato Milkaut</t>
  </si>
  <si>
    <t>10051</t>
  </si>
  <si>
    <t>Miga Bragado</t>
  </si>
  <si>
    <t>10052</t>
  </si>
  <si>
    <t>Aceite</t>
  </si>
  <si>
    <t>10053</t>
  </si>
  <si>
    <t>Ricota</t>
  </si>
  <si>
    <t>10054</t>
  </si>
  <si>
    <t>Leche Larga Vida</t>
  </si>
  <si>
    <t>10055</t>
  </si>
  <si>
    <t>Aderezo Ceaser</t>
  </si>
  <si>
    <t>10056</t>
  </si>
  <si>
    <t>Pollo</t>
  </si>
  <si>
    <t>10057</t>
  </si>
  <si>
    <t>Queso Brie</t>
  </si>
  <si>
    <t>10058</t>
  </si>
  <si>
    <t>Panceta</t>
  </si>
  <si>
    <t>10059</t>
  </si>
  <si>
    <t>Crema Pastelera Vacalin</t>
  </si>
  <si>
    <t>10060</t>
  </si>
  <si>
    <t>Leche Condensanda Nestle</t>
  </si>
  <si>
    <t>10061</t>
  </si>
  <si>
    <t>Jamon Crudo</t>
  </si>
  <si>
    <t>10062</t>
  </si>
  <si>
    <t>Coco Rallado Indonesia</t>
  </si>
  <si>
    <t>10063</t>
  </si>
  <si>
    <t>Mapsacuber Marron Boton</t>
  </si>
  <si>
    <t>10064</t>
  </si>
  <si>
    <t>AZUCAR NEGRA CIRCE X 1 KG</t>
  </si>
  <si>
    <t>10065</t>
  </si>
  <si>
    <t>AZUCAR IMPALPABLE CIRCE X 1 KG</t>
  </si>
  <si>
    <t>LA CREMONA</t>
  </si>
  <si>
    <t>20001</t>
  </si>
  <si>
    <t>La Cremona</t>
  </si>
  <si>
    <t>Factura Locatelli</t>
  </si>
  <si>
    <t>20002</t>
  </si>
  <si>
    <t>Factura Alemana</t>
  </si>
  <si>
    <t>20003</t>
  </si>
  <si>
    <t>Factura Mix</t>
  </si>
  <si>
    <t>20004</t>
  </si>
  <si>
    <t>Factura Med Multigranos</t>
  </si>
  <si>
    <t>20005</t>
  </si>
  <si>
    <t>Coquitos</t>
  </si>
  <si>
    <t>20006</t>
  </si>
  <si>
    <t>Cookies</t>
  </si>
  <si>
    <t>20007</t>
  </si>
  <si>
    <t>Palmeras</t>
  </si>
  <si>
    <t>20008</t>
  </si>
  <si>
    <t>Pata de Oso</t>
  </si>
  <si>
    <t>20009</t>
  </si>
  <si>
    <t>Alfajor Maicena</t>
  </si>
  <si>
    <t>PAPELERA</t>
  </si>
  <si>
    <t>10123</t>
  </si>
  <si>
    <t>Bolsa Kraft N5</t>
  </si>
  <si>
    <t>10124</t>
  </si>
  <si>
    <t>Bolsa Kraft N6</t>
  </si>
  <si>
    <t>10125</t>
  </si>
  <si>
    <t>Bandeja Carton N5</t>
  </si>
  <si>
    <t>10126</t>
  </si>
  <si>
    <t>Tira Cartulina 60 cm</t>
  </si>
  <si>
    <t>10127</t>
  </si>
  <si>
    <t>Bandeja Exp 618 20x15</t>
  </si>
  <si>
    <t>10128</t>
  </si>
  <si>
    <t>Bolsas PP 20X30 X 100</t>
  </si>
  <si>
    <t>10129</t>
  </si>
  <si>
    <t>Ensaladera Cristal 900 cc</t>
  </si>
  <si>
    <t>10130</t>
  </si>
  <si>
    <t xml:space="preserve">Tapa Ensaladera </t>
  </si>
  <si>
    <t>10131</t>
  </si>
  <si>
    <t>Vaso Termico 240 CC</t>
  </si>
  <si>
    <t>10132</t>
  </si>
  <si>
    <t>Servilleta 18 x 18 cm</t>
  </si>
  <si>
    <t>10133</t>
  </si>
  <si>
    <t>Vaso Polip 12 OZ 30 uni tubo</t>
  </si>
  <si>
    <t>10134</t>
  </si>
  <si>
    <t>Tapa Vaso Poli 12 OZ</t>
  </si>
  <si>
    <t>10135</t>
  </si>
  <si>
    <t>Repuesto Film 300 Mts Eco 9</t>
  </si>
  <si>
    <t>10136</t>
  </si>
  <si>
    <t>Rollo Maquina Termica 57x 20</t>
  </si>
  <si>
    <t>10137</t>
  </si>
  <si>
    <t>Vaso 500 cc Nat x 1440 Bella Cup</t>
  </si>
  <si>
    <t>10138</t>
  </si>
  <si>
    <t>Vaso 180 cc Blanco Bella Cup</t>
  </si>
  <si>
    <t>10139</t>
  </si>
  <si>
    <t>Rollo Papel Facturas "Rocha Almacen"</t>
  </si>
  <si>
    <t>10140</t>
  </si>
  <si>
    <t>Camiseta 40 x 50 Nar</t>
  </si>
  <si>
    <t>10141</t>
  </si>
  <si>
    <t>Camiseta 45 x 60 Nar</t>
  </si>
  <si>
    <t>10142</t>
  </si>
  <si>
    <t>Rollo 60x90 x 6 Rolan</t>
  </si>
  <si>
    <t>10143</t>
  </si>
  <si>
    <t>Band Exp 618 20x15 cm x 400 uni</t>
  </si>
  <si>
    <t>10144</t>
  </si>
  <si>
    <t>Plato Dipo 24x50</t>
  </si>
  <si>
    <t>10145</t>
  </si>
  <si>
    <t>Tapa 88 p/potes work x 50 x 1000</t>
  </si>
  <si>
    <t>10146</t>
  </si>
  <si>
    <t>Blonda Calada 25/26 cm x 100</t>
  </si>
  <si>
    <t>10147</t>
  </si>
  <si>
    <t>Blonda Calada 28 cm x 100</t>
  </si>
  <si>
    <t>10148</t>
  </si>
  <si>
    <t>Pap Hig s/h aloe x 30 mts x 24</t>
  </si>
  <si>
    <t>10149</t>
  </si>
  <si>
    <t>Plato Alum ( provo ) x 1000</t>
  </si>
  <si>
    <t>10150</t>
  </si>
  <si>
    <t>Bud Papel 185x50x50x100</t>
  </si>
  <si>
    <t>10151</t>
  </si>
  <si>
    <t>Lamina 20x25x10 Rolan</t>
  </si>
  <si>
    <t>10152</t>
  </si>
  <si>
    <t>Bandeja Exp 621 19 x 14 x 600 uni</t>
  </si>
  <si>
    <t>10153</t>
  </si>
  <si>
    <t>Camiseta 30x40 azul</t>
  </si>
  <si>
    <t>10154</t>
  </si>
  <si>
    <t>ROLLO PAP MANTECA X50</t>
  </si>
  <si>
    <t>10155</t>
  </si>
  <si>
    <t>FILM 38CM X9</t>
  </si>
  <si>
    <t>10156</t>
  </si>
  <si>
    <t>CINTA EMBALAR 48MM</t>
  </si>
  <si>
    <t>10157</t>
  </si>
  <si>
    <t>CONSORCIO 80X100  X50</t>
  </si>
  <si>
    <t>10158</t>
  </si>
  <si>
    <t>CAJA CARTON 30X20X20</t>
  </si>
  <si>
    <t>10159</t>
  </si>
  <si>
    <t>CUCHARA SUNDAE X1000</t>
  </si>
  <si>
    <t>10160</t>
  </si>
  <si>
    <t>Collarin 12oz x25 u x40</t>
  </si>
  <si>
    <t>10161</t>
  </si>
  <si>
    <t>Cinta transparente 24mmx40mts  x72</t>
  </si>
  <si>
    <t>10162</t>
  </si>
  <si>
    <t>Bobina doble hoja</t>
  </si>
  <si>
    <t>10163</t>
  </si>
  <si>
    <t>res.alambre corte 40x3</t>
  </si>
  <si>
    <t>10164</t>
  </si>
  <si>
    <t>Tela Teflon sell</t>
  </si>
  <si>
    <t>10165</t>
  </si>
  <si>
    <t>Disco de Carton 18cm</t>
  </si>
  <si>
    <t>10166</t>
  </si>
  <si>
    <t>Bolsas PP 35x45cm</t>
  </si>
  <si>
    <t>10167</t>
  </si>
  <si>
    <t>Plato Dor x50</t>
  </si>
  <si>
    <t>10168</t>
  </si>
  <si>
    <t>PVC Resifilm 18 x 1000mts</t>
  </si>
  <si>
    <t>10169</t>
  </si>
  <si>
    <t>Pore 380CC PP Work</t>
  </si>
  <si>
    <t>10170</t>
  </si>
  <si>
    <t>Tenedor Blanco x 1000</t>
  </si>
  <si>
    <t>10171</t>
  </si>
  <si>
    <t>Tira Cartulina 50 cm</t>
  </si>
  <si>
    <t>10172</t>
  </si>
  <si>
    <t>Bolsas pp 50 x 60</t>
  </si>
  <si>
    <t>10173</t>
  </si>
  <si>
    <t>Blonda Calada 20 cm</t>
  </si>
  <si>
    <t>10174</t>
  </si>
  <si>
    <t>Rendidor</t>
  </si>
  <si>
    <t>10096</t>
  </si>
  <si>
    <t>Bobina Impresa papel Rocha Pan</t>
  </si>
  <si>
    <t>10197</t>
  </si>
  <si>
    <t>Bolsas de papel impresa Rocha pan</t>
  </si>
  <si>
    <t>10100</t>
  </si>
  <si>
    <t>COOKIES</t>
  </si>
  <si>
    <t>10101</t>
  </si>
  <si>
    <t>Blisters Cookies</t>
  </si>
  <si>
    <t>10102</t>
  </si>
  <si>
    <t>Bandejas Cookies</t>
  </si>
  <si>
    <t>10103</t>
  </si>
  <si>
    <t>Tubitos Cookies</t>
  </si>
  <si>
    <t>10104</t>
  </si>
  <si>
    <t>Frolas Cookies</t>
  </si>
  <si>
    <t>10105</t>
  </si>
  <si>
    <t>Limon Cookies</t>
  </si>
  <si>
    <t>10106</t>
  </si>
  <si>
    <t>Brownie Cookies</t>
  </si>
  <si>
    <t>10107</t>
  </si>
  <si>
    <t>Triples</t>
  </si>
  <si>
    <t>Nombre Cliente</t>
  </si>
  <si>
    <t>Lista de Precio Excel</t>
  </si>
  <si>
    <t>Direccion</t>
  </si>
  <si>
    <t>Lista de Precio Gas</t>
  </si>
  <si>
    <t>Comentarios</t>
  </si>
  <si>
    <t>Telefono/Contacto</t>
  </si>
  <si>
    <t>Forma de Pago</t>
  </si>
  <si>
    <t>Forma</t>
  </si>
  <si>
    <t>Factura</t>
  </si>
  <si>
    <t>Tipo</t>
  </si>
  <si>
    <t>Hs. Entrega</t>
  </si>
  <si>
    <t>Reparto</t>
  </si>
  <si>
    <t>001</t>
  </si>
  <si>
    <t>AMODIL</t>
  </si>
  <si>
    <t>Intendente Neyer 1643; Beccar</t>
  </si>
  <si>
    <t>Envio Saldo los 1 eros por Mail</t>
  </si>
  <si>
    <t>rrhh@amodil.com     German</t>
  </si>
  <si>
    <t>CC</t>
  </si>
  <si>
    <t>Mensual</t>
  </si>
  <si>
    <t>Efectivo</t>
  </si>
  <si>
    <t>5:30 hs</t>
  </si>
  <si>
    <t>002</t>
  </si>
  <si>
    <t>PAN DE ANGEL</t>
  </si>
  <si>
    <t>Gral  guido 1143 Beccar</t>
  </si>
  <si>
    <t>Envio saldo los Lunes temprano</t>
  </si>
  <si>
    <t>11-3637-6383 ANA</t>
  </si>
  <si>
    <t>Semanal</t>
  </si>
  <si>
    <t>A</t>
  </si>
  <si>
    <t>6/7AM</t>
  </si>
  <si>
    <t>003</t>
  </si>
  <si>
    <t>MONICA TUYUTI</t>
  </si>
  <si>
    <t>Tuyuti 780, Tigre, Rincon</t>
  </si>
  <si>
    <t>11 5806-2475</t>
  </si>
  <si>
    <t>Contado</t>
  </si>
  <si>
    <t>Diario</t>
  </si>
  <si>
    <t>8:00 hs</t>
  </si>
  <si>
    <t>004</t>
  </si>
  <si>
    <t xml:space="preserve">V Y B </t>
  </si>
  <si>
    <t>Tuyuti 231</t>
  </si>
  <si>
    <t>11 6112-4865</t>
  </si>
  <si>
    <t>005</t>
  </si>
  <si>
    <t>CRISTIAN</t>
  </si>
  <si>
    <t>BENITO LYNCH 654</t>
  </si>
  <si>
    <t>11-3647-1079</t>
  </si>
  <si>
    <t>006</t>
  </si>
  <si>
    <t>LOS ANTOJOS</t>
  </si>
  <si>
    <t>Martin Rodriguez 323</t>
  </si>
  <si>
    <t>11 3471-0455</t>
  </si>
  <si>
    <t>8:00hs</t>
  </si>
  <si>
    <t>LINIERS</t>
  </si>
  <si>
    <t>Av Liniers 1699; Tigre</t>
  </si>
  <si>
    <t>Envio Saldo a Matias 1 ero de mes</t>
  </si>
  <si>
    <t>Celu Pana</t>
  </si>
  <si>
    <t>6:30hs</t>
  </si>
  <si>
    <t>008</t>
  </si>
  <si>
    <t>MARCOS SASTRE</t>
  </si>
  <si>
    <t>BELGRANO 620, TIGRE</t>
  </si>
  <si>
    <t>1140895492 - martin</t>
  </si>
  <si>
    <t>7/7:30</t>
  </si>
  <si>
    <t>009</t>
  </si>
  <si>
    <t>ALICIA</t>
  </si>
  <si>
    <t>Montevideo y Albarellos; Tigre</t>
  </si>
  <si>
    <t>11 2317-0381</t>
  </si>
  <si>
    <t>9:00 hs</t>
  </si>
  <si>
    <t>011</t>
  </si>
  <si>
    <t>DERIVA RESTO</t>
  </si>
  <si>
    <t>Catamarca 2291, entre bogota y caracas</t>
  </si>
  <si>
    <t>12hs</t>
  </si>
  <si>
    <t>012</t>
  </si>
  <si>
    <t>ARROYO FELIPE</t>
  </si>
  <si>
    <t>Estacion Fluvial; Tigre</t>
  </si>
  <si>
    <t>Generalmente paga los Domingos sin que le pase la cuenta</t>
  </si>
  <si>
    <t>MP</t>
  </si>
  <si>
    <t>013</t>
  </si>
  <si>
    <t>ANA PUERTO</t>
  </si>
  <si>
    <t xml:space="preserve">sauces y los eucaliptos </t>
  </si>
  <si>
    <t>CONTADO</t>
  </si>
  <si>
    <t>DIARIO</t>
  </si>
  <si>
    <t>014</t>
  </si>
  <si>
    <t>VIVANCO</t>
  </si>
  <si>
    <t>Bartolome Mitre 74; Tigre</t>
  </si>
  <si>
    <t>1155123719 Federico</t>
  </si>
  <si>
    <t>Cheque</t>
  </si>
  <si>
    <t>7:00hs</t>
  </si>
  <si>
    <t>016</t>
  </si>
  <si>
    <t>EL VASCO</t>
  </si>
  <si>
    <t>Av Cazon 1487; Tigre</t>
  </si>
  <si>
    <t>11 3696-6563</t>
  </si>
  <si>
    <t>9/10 hs</t>
  </si>
  <si>
    <t>017</t>
  </si>
  <si>
    <t>TIGRE MARKET</t>
  </si>
  <si>
    <t>Castelli 176; Tigre</t>
  </si>
  <si>
    <t>Envio el saldo 1 ero de mes</t>
  </si>
  <si>
    <t>1133639999 Coco</t>
  </si>
  <si>
    <t>10:30 hs</t>
  </si>
  <si>
    <t>018</t>
  </si>
  <si>
    <t>EL BODEGON</t>
  </si>
  <si>
    <t>Italia 1398; Tigre</t>
  </si>
  <si>
    <t>1160188678 Maria</t>
  </si>
  <si>
    <t>019</t>
  </si>
  <si>
    <t>SABORES DUT</t>
  </si>
  <si>
    <t>Remeros Dut Manzana 6 Local 8; Tigre, Rincon</t>
  </si>
  <si>
    <t>11 3334-4579</t>
  </si>
  <si>
    <t>9:00hs</t>
  </si>
  <si>
    <t>020</t>
  </si>
  <si>
    <t>GRACIELA BILOCH</t>
  </si>
  <si>
    <t>Billoch 375; Tigre</t>
  </si>
  <si>
    <t>11 2462-2531</t>
  </si>
  <si>
    <t>021</t>
  </si>
  <si>
    <t>GRANJA C Y S</t>
  </si>
  <si>
    <t>Williams 888;  Tigre</t>
  </si>
  <si>
    <t>11 6357-9321</t>
  </si>
  <si>
    <t xml:space="preserve">9/10hs </t>
  </si>
  <si>
    <t>022</t>
  </si>
  <si>
    <t>ISLEÑOS PARRILLA</t>
  </si>
  <si>
    <t>SARMIENTO 49</t>
  </si>
  <si>
    <t>diario</t>
  </si>
  <si>
    <t>efectivo</t>
  </si>
  <si>
    <t>9/10 AM</t>
  </si>
  <si>
    <t>023</t>
  </si>
  <si>
    <t>TIMON DORADO</t>
  </si>
  <si>
    <t>Envio saldo los Lunes temprano ( paga a semana vencida )</t>
  </si>
  <si>
    <t>1144260007 Romina</t>
  </si>
  <si>
    <t>Se factura cuando transfiere</t>
  </si>
  <si>
    <t>B</t>
  </si>
  <si>
    <t>024</t>
  </si>
  <si>
    <t xml:space="preserve">LA VIEJA CAZONA </t>
  </si>
  <si>
    <t>25DE MAYO 1810</t>
  </si>
  <si>
    <t>025</t>
  </si>
  <si>
    <t>FLANDERS Susana</t>
  </si>
  <si>
    <t>VIVANCO 1338/1342</t>
  </si>
  <si>
    <t>11-4947-8133</t>
  </si>
  <si>
    <t>EFECTIVO</t>
  </si>
  <si>
    <t>026</t>
  </si>
  <si>
    <t>GLORIAS</t>
  </si>
  <si>
    <t>Av Dardo Rocha 919; Tigre</t>
  </si>
  <si>
    <t>1169033138 Lucas</t>
  </si>
  <si>
    <t>7 y 9 hs</t>
  </si>
  <si>
    <t>027</t>
  </si>
  <si>
    <t>POMPEYA</t>
  </si>
  <si>
    <t>Av Cazon 1186; Tigre</t>
  </si>
  <si>
    <t>1163362559 Lorena</t>
  </si>
  <si>
    <t>10 hs</t>
  </si>
  <si>
    <t>028</t>
  </si>
  <si>
    <t>ROWING</t>
  </si>
  <si>
    <t>Coronel Morales 1563; Tigre</t>
  </si>
  <si>
    <t>Envio Saldo 1ero de mes</t>
  </si>
  <si>
    <t>1157229213 Agustin</t>
  </si>
  <si>
    <t>10hs</t>
  </si>
  <si>
    <t>029</t>
  </si>
  <si>
    <t>JUNIOR FUDTRUCK</t>
  </si>
  <si>
    <t>LUIS GARCIA 1765</t>
  </si>
  <si>
    <t>11-6571-3354</t>
  </si>
  <si>
    <t>9/10HS</t>
  </si>
  <si>
    <t>030</t>
  </si>
  <si>
    <t>031</t>
  </si>
  <si>
    <t>TIA LITA</t>
  </si>
  <si>
    <t>Paseo Victorica 134; Tigre</t>
  </si>
  <si>
    <t>1162701894 Maxi</t>
  </si>
  <si>
    <t>11/12hs</t>
  </si>
  <si>
    <t>032</t>
  </si>
  <si>
    <t>CLUB TIGRE JUNIORS</t>
  </si>
  <si>
    <t>AV. CAZON 646</t>
  </si>
  <si>
    <t>033</t>
  </si>
  <si>
    <t>NEGRI</t>
  </si>
  <si>
    <t>Sarmiento 7; Tigre Puerto de Frutos</t>
  </si>
  <si>
    <t>Envio Saldo Los Lunes Luego de las 10:00 am</t>
  </si>
  <si>
    <t>1160439139 Agustin</t>
  </si>
  <si>
    <t>034</t>
  </si>
  <si>
    <t>PALAS</t>
  </si>
  <si>
    <t>1150369343 Federico</t>
  </si>
  <si>
    <t>RETIRA</t>
  </si>
  <si>
    <t>035</t>
  </si>
  <si>
    <t>IL FIUME</t>
  </si>
  <si>
    <t>Paseo Victorica 96;  Tigre</t>
  </si>
  <si>
    <t>1151644583 Lucas</t>
  </si>
  <si>
    <t>036</t>
  </si>
  <si>
    <t>COLEGIO MARCOS SASTRE</t>
  </si>
  <si>
    <t>LINIERS 1024, TIGRE</t>
  </si>
  <si>
    <t>8/9HS</t>
  </si>
  <si>
    <t>037</t>
  </si>
  <si>
    <t>AGUSTIN/LUCAS CARNICERIA</t>
  </si>
  <si>
    <t>RETIRA MOSTRADOR</t>
  </si>
  <si>
    <t>11 3625-8788</t>
  </si>
  <si>
    <t>RETIRA 7AM</t>
  </si>
  <si>
    <t>038</t>
  </si>
  <si>
    <t>ALCAZAR</t>
  </si>
  <si>
    <t>RETIRA O STURLA</t>
  </si>
  <si>
    <t>1154199431 Marcelo</t>
  </si>
  <si>
    <t>MP/Efectivo</t>
  </si>
  <si>
    <t>Cuando Trasnfiere</t>
  </si>
  <si>
    <t>039</t>
  </si>
  <si>
    <t>BEMVELON/REMO</t>
  </si>
  <si>
    <t>11 5829-7725</t>
  </si>
  <si>
    <t>contado</t>
  </si>
  <si>
    <t>mp</t>
  </si>
  <si>
    <t>041</t>
  </si>
  <si>
    <t>ALDO PASTAS</t>
  </si>
  <si>
    <t>Hipólito y Irigoyen 301, ESQ ITALIA</t>
  </si>
  <si>
    <t>8:30/9</t>
  </si>
  <si>
    <t>042</t>
  </si>
  <si>
    <t>ARBOX - NORLOG</t>
  </si>
  <si>
    <t>AV. PRES. PERON 4749, BENAVIDEZ</t>
  </si>
  <si>
    <t>SEMANAL</t>
  </si>
  <si>
    <t>043</t>
  </si>
  <si>
    <t>BORASO</t>
  </si>
  <si>
    <t>1161037893 Ramiro</t>
  </si>
  <si>
    <t>RETIRA 9/10hs</t>
  </si>
  <si>
    <t>044</t>
  </si>
  <si>
    <t>CATERING BRAZZI</t>
  </si>
  <si>
    <t>ITUZAINGO 1876, SAN FERNANDO</t>
  </si>
  <si>
    <t>1169021207 Pablo</t>
  </si>
  <si>
    <t>Transferencia</t>
  </si>
  <si>
    <t>045</t>
  </si>
  <si>
    <t>ABUELA TOTO</t>
  </si>
  <si>
    <t xml:space="preserve">Avenida Italia 417, Tigre </t>
  </si>
  <si>
    <t>9HS</t>
  </si>
  <si>
    <t>046</t>
  </si>
  <si>
    <t>PLAZA CAFÉ</t>
  </si>
  <si>
    <t>AV ITALIA 1199</t>
  </si>
  <si>
    <t>1155889731 MIGUEL</t>
  </si>
  <si>
    <t xml:space="preserve">10/12HS </t>
  </si>
  <si>
    <t>047</t>
  </si>
  <si>
    <t>JUANCHO 2</t>
  </si>
  <si>
    <t>Alexis Carrel 481; Los Troncos</t>
  </si>
  <si>
    <t>1149276751 Claudio</t>
  </si>
  <si>
    <t>A dia Vencido</t>
  </si>
  <si>
    <t>7hs</t>
  </si>
  <si>
    <t>048</t>
  </si>
  <si>
    <t>049</t>
  </si>
  <si>
    <t>GUERE GUERE RINCON</t>
  </si>
  <si>
    <t>Williams 910;  Tigre, Rincon</t>
  </si>
  <si>
    <t>1136929633 Sebastian</t>
  </si>
  <si>
    <t>7/8hs</t>
  </si>
  <si>
    <t>050</t>
  </si>
  <si>
    <t>DESPENSA BELTRAN</t>
  </si>
  <si>
    <t xml:space="preserve">BELTRAN 1426 </t>
  </si>
  <si>
    <t>TODOS LOS DIAS</t>
  </si>
  <si>
    <t>11-2562-9869</t>
  </si>
  <si>
    <t>8/9hs</t>
  </si>
  <si>
    <t>051</t>
  </si>
  <si>
    <t>TUTTO SAN FERNANDO</t>
  </si>
  <si>
    <t>Constitucion 1148;  San Fernando</t>
  </si>
  <si>
    <t>11 3502-4484</t>
  </si>
  <si>
    <t>5:30/6hs</t>
  </si>
  <si>
    <t>052</t>
  </si>
  <si>
    <t>Av Avellaneda 1595;  San Fernando</t>
  </si>
  <si>
    <t>1127350055 Alejandro</t>
  </si>
  <si>
    <t>6/6:30hs</t>
  </si>
  <si>
    <t>053</t>
  </si>
  <si>
    <t>AL AMANECER</t>
  </si>
  <si>
    <t>CARLOS CASARES 4115, VICTORIA</t>
  </si>
  <si>
    <t>11-3584-0499 JOAQUIN</t>
  </si>
  <si>
    <t>6/7 AM</t>
  </si>
  <si>
    <t>054</t>
  </si>
  <si>
    <t>KIOSCO MAS 10</t>
  </si>
  <si>
    <t>3 de febrero 300 (esquina de junin</t>
  </si>
  <si>
    <t>055</t>
  </si>
  <si>
    <t>FRANCO GRANJA</t>
  </si>
  <si>
    <t>056</t>
  </si>
  <si>
    <t>057</t>
  </si>
  <si>
    <t>058</t>
  </si>
  <si>
    <t>059</t>
  </si>
  <si>
    <t>060</t>
  </si>
  <si>
    <t>Union Tigrense</t>
  </si>
  <si>
    <t>ESTRADA 549, TIGRE</t>
  </si>
  <si>
    <t>1134433515 Lucas</t>
  </si>
  <si>
    <t>061</t>
  </si>
  <si>
    <t>062</t>
  </si>
  <si>
    <t>063</t>
  </si>
  <si>
    <t>Isla Bruma</t>
  </si>
  <si>
    <t>Paseo Victorica 498; Tigre</t>
  </si>
  <si>
    <t>1158055802 Bruno</t>
  </si>
  <si>
    <t>064</t>
  </si>
  <si>
    <t>065</t>
  </si>
  <si>
    <t>066</t>
  </si>
  <si>
    <t>067</t>
  </si>
  <si>
    <t>068</t>
  </si>
  <si>
    <t>069</t>
  </si>
  <si>
    <t>070</t>
  </si>
  <si>
    <t>071</t>
  </si>
  <si>
    <t>Sabores Dut Martinez</t>
  </si>
  <si>
    <t>11 4199-5389</t>
  </si>
  <si>
    <t xml:space="preserve">efectivo </t>
  </si>
  <si>
    <t>072</t>
  </si>
  <si>
    <t>073</t>
  </si>
  <si>
    <t>074</t>
  </si>
  <si>
    <t>075</t>
  </si>
  <si>
    <t>Bar Marilyn</t>
  </si>
  <si>
    <t>076</t>
  </si>
  <si>
    <t>078</t>
  </si>
  <si>
    <t>78</t>
  </si>
  <si>
    <t>079</t>
  </si>
  <si>
    <t>081</t>
  </si>
  <si>
    <t>082</t>
  </si>
  <si>
    <t>084</t>
  </si>
  <si>
    <t>PAPELAS</t>
  </si>
  <si>
    <t>Perón 2869</t>
  </si>
  <si>
    <t>085</t>
  </si>
  <si>
    <t>MARI</t>
  </si>
  <si>
    <t>SARGENTO CABRAL 2084 (ESQ ALBA)</t>
  </si>
  <si>
    <t>8AM</t>
  </si>
  <si>
    <t>086</t>
  </si>
  <si>
    <t>86</t>
  </si>
  <si>
    <t>087</t>
  </si>
  <si>
    <t>089</t>
  </si>
  <si>
    <t>090</t>
  </si>
  <si>
    <t>091</t>
  </si>
  <si>
    <t>Fariña</t>
  </si>
  <si>
    <t>BARTOLOME MITRE 442, TIGRE</t>
  </si>
  <si>
    <t>092</t>
  </si>
  <si>
    <t>093</t>
  </si>
  <si>
    <t>094</t>
  </si>
  <si>
    <t>095</t>
  </si>
  <si>
    <t>096</t>
  </si>
  <si>
    <t>Javier Hostel</t>
  </si>
  <si>
    <t>112640-4169</t>
  </si>
  <si>
    <t>097</t>
  </si>
  <si>
    <t>098</t>
  </si>
  <si>
    <t>099</t>
  </si>
  <si>
    <t>100</t>
  </si>
  <si>
    <t>101</t>
  </si>
  <si>
    <t>102</t>
  </si>
  <si>
    <t>103</t>
  </si>
  <si>
    <t>BERLINA - MATIAS</t>
  </si>
  <si>
    <t>+54 9 11 3013-6288</t>
  </si>
  <si>
    <t>104</t>
  </si>
  <si>
    <t>105</t>
  </si>
  <si>
    <t>107</t>
  </si>
  <si>
    <t>KHOFI CAFETERIA</t>
  </si>
  <si>
    <t>BRASIL 75, GALERIA PALMERA</t>
  </si>
  <si>
    <t>9/11hs</t>
  </si>
  <si>
    <t>108</t>
  </si>
  <si>
    <t>KANOO - RESTO</t>
  </si>
  <si>
    <t>RETIRAN</t>
  </si>
  <si>
    <t>109</t>
  </si>
  <si>
    <t>Lo de Coqui</t>
  </si>
  <si>
    <t>Constitucion 82</t>
  </si>
  <si>
    <t xml:space="preserve"> 11 4991-6274</t>
  </si>
  <si>
    <t>110</t>
  </si>
  <si>
    <t>111</t>
  </si>
  <si>
    <t>112</t>
  </si>
  <si>
    <t>113</t>
  </si>
  <si>
    <t>CASA ALBARDON (GUARDERIA)</t>
  </si>
  <si>
    <t>LUIS PEREYRA 2, TIGRE</t>
  </si>
  <si>
    <t>cc</t>
  </si>
  <si>
    <t>semanal</t>
  </si>
  <si>
    <t>114</t>
  </si>
  <si>
    <t xml:space="preserve">EL JEFE ROTISERIA </t>
  </si>
  <si>
    <t>Constitución 2342, 4 piso A, 1 módulo</t>
  </si>
  <si>
    <t>12HS ABRE</t>
  </si>
  <si>
    <t>115</t>
  </si>
  <si>
    <t>PUMA</t>
  </si>
  <si>
    <t>Av cazón 585</t>
  </si>
  <si>
    <t>trasfiere</t>
  </si>
  <si>
    <t>116</t>
  </si>
  <si>
    <t>GASTON CARMONA</t>
  </si>
  <si>
    <t>117</t>
  </si>
  <si>
    <t>118</t>
  </si>
  <si>
    <t>119</t>
  </si>
  <si>
    <t>MAREMMA</t>
  </si>
  <si>
    <t>ITALIA 1602</t>
  </si>
  <si>
    <t>120</t>
  </si>
  <si>
    <t>STURLA</t>
  </si>
  <si>
    <t>121</t>
  </si>
  <si>
    <t>PABLO CATERING</t>
  </si>
  <si>
    <t>REITA POR EL GALPON</t>
  </si>
  <si>
    <t>122</t>
  </si>
  <si>
    <t>ROMINA</t>
  </si>
  <si>
    <t>Solis 1261</t>
  </si>
  <si>
    <t>11 6262-6637</t>
  </si>
  <si>
    <t>123</t>
  </si>
  <si>
    <t>ELENA - PANADERIA EL TANO</t>
  </si>
  <si>
    <t>Carlos Gardel 157</t>
  </si>
  <si>
    <t>11 6542-2574</t>
  </si>
  <si>
    <t>RETIRA 7hs</t>
  </si>
  <si>
    <t>124</t>
  </si>
  <si>
    <t>MILANESIO</t>
  </si>
  <si>
    <t>ESPAÑA 289 ESQ BERUTI</t>
  </si>
  <si>
    <t>11-5340-6502</t>
  </si>
  <si>
    <t>8/10 AM</t>
  </si>
  <si>
    <t>125</t>
  </si>
  <si>
    <t>ROCHA</t>
  </si>
  <si>
    <t>Av Rocha 1461</t>
  </si>
  <si>
    <t>126</t>
  </si>
  <si>
    <t>127</t>
  </si>
  <si>
    <t>128</t>
  </si>
  <si>
    <t>129</t>
  </si>
  <si>
    <t>CHINO  (El Jefe)</t>
  </si>
  <si>
    <t>11 2730-3056</t>
  </si>
  <si>
    <t>130</t>
  </si>
  <si>
    <t>131</t>
  </si>
  <si>
    <t>TIENDA PAN RINCON</t>
  </si>
  <si>
    <t>JOSE C PAZ Y 9 DE JULIO</t>
  </si>
  <si>
    <t>132</t>
  </si>
  <si>
    <t>HACOAJ CATERING</t>
  </si>
  <si>
    <t xml:space="preserve">BOYERO AL FONDO </t>
  </si>
  <si>
    <t>ABONA</t>
  </si>
  <si>
    <t>8/8:30</t>
  </si>
  <si>
    <t>133</t>
  </si>
  <si>
    <t>134</t>
  </si>
  <si>
    <t>JOAQUIN CHINO</t>
  </si>
  <si>
    <t>3 DE FEBRERO 282 (FRENTE A LA FILATA)</t>
  </si>
  <si>
    <t>11 3131-9957</t>
  </si>
  <si>
    <t>135</t>
  </si>
  <si>
    <t>136</t>
  </si>
  <si>
    <t>137</t>
  </si>
  <si>
    <t>138</t>
  </si>
  <si>
    <t>139</t>
  </si>
  <si>
    <t>TIGRE MARKET 2</t>
  </si>
  <si>
    <t>ROCHA 786</t>
  </si>
  <si>
    <t>11 4146-6666</t>
  </si>
  <si>
    <t>140</t>
  </si>
  <si>
    <t>BIG ROGER</t>
  </si>
  <si>
    <t>PUERTO DE FRUTOS</t>
  </si>
  <si>
    <t>141</t>
  </si>
  <si>
    <t>CANELA</t>
  </si>
  <si>
    <t>SALDIAS 737</t>
  </si>
  <si>
    <t>11-5762-8929</t>
  </si>
  <si>
    <t>142</t>
  </si>
  <si>
    <t>143</t>
  </si>
  <si>
    <t>Chino Mitre</t>
  </si>
  <si>
    <t>Emilio Mitre 450 SF</t>
  </si>
  <si>
    <t>144</t>
  </si>
  <si>
    <t>EL VIEJO ALMACEN - NATALIA</t>
  </si>
  <si>
    <t>GARIBALDI 1591 - RINCON</t>
  </si>
  <si>
    <t xml:space="preserve">RETIRA POR ROCHA </t>
  </si>
  <si>
    <t>7:30AM</t>
  </si>
  <si>
    <t>145</t>
  </si>
  <si>
    <t>146</t>
  </si>
  <si>
    <t>Suma Activa</t>
  </si>
  <si>
    <t>Pedro Guareschi 22</t>
  </si>
  <si>
    <t>11 6478-3118</t>
  </si>
  <si>
    <t>147</t>
  </si>
  <si>
    <t>Timbo Delta</t>
  </si>
  <si>
    <t>LLEVARA A ITALIA 7 AM</t>
  </si>
  <si>
    <t>11 4199-9352</t>
  </si>
  <si>
    <t>148</t>
  </si>
  <si>
    <t>Parrilla cloe</t>
  </si>
  <si>
    <t>Sarmiento 130</t>
  </si>
  <si>
    <t>149</t>
  </si>
  <si>
    <t>150</t>
  </si>
  <si>
    <t xml:space="preserve">SANTIAGO CAFETERIA </t>
  </si>
  <si>
    <t>RETIRA GALPON</t>
  </si>
  <si>
    <t>151</t>
  </si>
  <si>
    <t>TOTO ROSALES</t>
  </si>
  <si>
    <t>REITRA POR ROCHA</t>
  </si>
  <si>
    <t>EFECT</t>
  </si>
  <si>
    <t>SI, SUMARLE 21%</t>
  </si>
  <si>
    <t>152</t>
  </si>
  <si>
    <t>ISLA CENTENARIO</t>
  </si>
  <si>
    <t>AMARRA PUBLICA HUGO CARRIL</t>
  </si>
  <si>
    <t>EEECT</t>
  </si>
  <si>
    <t>153</t>
  </si>
  <si>
    <t>Brazzi Escuelas</t>
  </si>
  <si>
    <t>154</t>
  </si>
  <si>
    <t xml:space="preserve">LA AMISTAD </t>
  </si>
  <si>
    <t>GUEMES 3119, ESQ IRALA</t>
  </si>
  <si>
    <t>11-5796-7954</t>
  </si>
  <si>
    <t>155</t>
  </si>
  <si>
    <t>LILIANA BEATRIZ</t>
  </si>
  <si>
    <t>MONTES DE OCA 464</t>
  </si>
  <si>
    <t>11-3490-6493</t>
  </si>
  <si>
    <t>TRANSFERENCIA</t>
  </si>
  <si>
    <t>FACTURA A 27-12141725-7</t>
  </si>
  <si>
    <t>8HS</t>
  </si>
  <si>
    <t>156</t>
  </si>
  <si>
    <t>DAMIAN CIRO</t>
  </si>
  <si>
    <t>URUGUAY 771, TIGRE</t>
  </si>
  <si>
    <t>11-6460-4355</t>
  </si>
  <si>
    <t>157</t>
  </si>
  <si>
    <t>POMPEYA PUERTO</t>
  </si>
  <si>
    <t>SARMIENTO 160, LOCAL 172</t>
  </si>
  <si>
    <t>11-6336-2559</t>
  </si>
  <si>
    <t>158</t>
  </si>
  <si>
    <t>Tres Estrellas FIMB</t>
  </si>
  <si>
    <t xml:space="preserve"> Fernando Fader 131, Troncos</t>
  </si>
  <si>
    <t>ENVIO</t>
  </si>
  <si>
    <t>11-3237-5809 FACU</t>
  </si>
  <si>
    <t>7 HS</t>
  </si>
  <si>
    <t>159</t>
  </si>
  <si>
    <t>DON NAZARENO</t>
  </si>
  <si>
    <t>11 3626-4902</t>
  </si>
  <si>
    <t>trasfiere/efec</t>
  </si>
  <si>
    <t>10/12hs</t>
  </si>
  <si>
    <t>160</t>
  </si>
  <si>
    <t>LA ENTRADA DEL PUERTO</t>
  </si>
  <si>
    <t>Pedro guareschi 129</t>
  </si>
  <si>
    <t>1125934825 NATALIA</t>
  </si>
  <si>
    <t>9:30/10</t>
  </si>
  <si>
    <t>161</t>
  </si>
  <si>
    <t>TIGRE RUGBY CLUB</t>
  </si>
  <si>
    <t>BENITO LYNCH 1060</t>
  </si>
  <si>
    <t>11 6872-3240</t>
  </si>
  <si>
    <t>162</t>
  </si>
  <si>
    <t>CHINO LINIERS</t>
  </si>
  <si>
    <t>AV LINIERS 678</t>
  </si>
  <si>
    <t>9/10 HS</t>
  </si>
  <si>
    <t>163</t>
  </si>
  <si>
    <t>BODEGON EL CORCHO</t>
  </si>
  <si>
    <t>R 27 Y ESQUINA PIROVANO</t>
  </si>
  <si>
    <t>1165751736 FLOR</t>
  </si>
  <si>
    <t>10/11 HS</t>
  </si>
  <si>
    <t>164</t>
  </si>
  <si>
    <t>PELUCHE</t>
  </si>
  <si>
    <t>AV. LIBERTADOR 2626, VICTORIA</t>
  </si>
  <si>
    <t>1167972525 RICKY</t>
  </si>
  <si>
    <t>PAGA</t>
  </si>
  <si>
    <t>165</t>
  </si>
  <si>
    <t>JUSTO CAFÉ</t>
  </si>
  <si>
    <t>ITUZAINGO 1170</t>
  </si>
  <si>
    <t xml:space="preserve"> 11 5103-7181</t>
  </si>
  <si>
    <t>paga</t>
  </si>
  <si>
    <t>166</t>
  </si>
  <si>
    <t>CAFETERIA BMW MOTOS</t>
  </si>
  <si>
    <t>santa María 4711 local 1002</t>
  </si>
  <si>
    <t>godelco.s.a 30-71624643-0</t>
  </si>
  <si>
    <t>167</t>
  </si>
  <si>
    <t>FIAMBRERIA MIMI</t>
  </si>
  <si>
    <t>AV ITALIA 1395</t>
  </si>
  <si>
    <t>10 HS</t>
  </si>
  <si>
    <t>168</t>
  </si>
  <si>
    <t>ROCHA CAZON</t>
  </si>
  <si>
    <t>AV CAZON 1527</t>
  </si>
  <si>
    <t>169</t>
  </si>
  <si>
    <t>HELADERIA KALUA</t>
  </si>
  <si>
    <t>JOSE MARIA PAZ 283 PACHECO</t>
  </si>
  <si>
    <t>170</t>
  </si>
  <si>
    <t>PAN DE ANGEL 2</t>
  </si>
  <si>
    <t>ALBARELLOS 138</t>
  </si>
  <si>
    <t>11-3874-1295</t>
  </si>
  <si>
    <t>171</t>
  </si>
  <si>
    <t>JOAQUIN CATERING</t>
  </si>
  <si>
    <t>SUCRE 3070</t>
  </si>
  <si>
    <t>11 4094-6774</t>
  </si>
  <si>
    <t>172</t>
  </si>
  <si>
    <t>SEPTIEMBRE PANADERIA</t>
  </si>
  <si>
    <t>AV. CONSTITUYENTES 870</t>
  </si>
  <si>
    <t>11-5376-3346</t>
  </si>
  <si>
    <t>173</t>
  </si>
  <si>
    <t>LAS PALMERAS-CHINO</t>
  </si>
  <si>
    <t>LIBERTADOR 87 TIGRE</t>
  </si>
  <si>
    <t>efecivo</t>
  </si>
  <si>
    <t>174</t>
  </si>
  <si>
    <t>AGUSTINA SERVIA</t>
  </si>
  <si>
    <t>DEJAR EN ROCHA</t>
  </si>
  <si>
    <t>11 7112-8457</t>
  </si>
  <si>
    <t>200</t>
  </si>
  <si>
    <t>VILLA TERRA</t>
  </si>
  <si>
    <t>900</t>
  </si>
  <si>
    <t>Gaston</t>
  </si>
  <si>
    <t>901</t>
  </si>
  <si>
    <t>Federico</t>
  </si>
  <si>
    <t>902</t>
  </si>
  <si>
    <t>Alan</t>
  </si>
  <si>
    <t>903</t>
  </si>
  <si>
    <t>Angel</t>
  </si>
  <si>
    <t>904</t>
  </si>
  <si>
    <t>Gabriel Jerez</t>
  </si>
  <si>
    <t>905</t>
  </si>
  <si>
    <t>Gabriel R</t>
  </si>
  <si>
    <t>906</t>
  </si>
  <si>
    <t>Maxi</t>
  </si>
  <si>
    <t>907</t>
  </si>
  <si>
    <t>Juan P</t>
  </si>
  <si>
    <t>908</t>
  </si>
  <si>
    <t>Juan F</t>
  </si>
  <si>
    <t>909</t>
  </si>
  <si>
    <t>Sergio</t>
  </si>
  <si>
    <t>910</t>
  </si>
  <si>
    <t>Florencia</t>
  </si>
  <si>
    <t>911</t>
  </si>
  <si>
    <t>Sebastian Soriano</t>
  </si>
  <si>
    <t>912</t>
  </si>
  <si>
    <t>Agustin (Gusti)</t>
  </si>
  <si>
    <t>913</t>
  </si>
  <si>
    <t>Agustina</t>
  </si>
  <si>
    <t>914</t>
  </si>
  <si>
    <t>Alejandra</t>
  </si>
  <si>
    <t>915</t>
  </si>
  <si>
    <t>Abril</t>
  </si>
  <si>
    <t>916</t>
  </si>
  <si>
    <t>Lolo</t>
  </si>
  <si>
    <t>917</t>
  </si>
  <si>
    <t xml:space="preserve">Facundo </t>
  </si>
  <si>
    <t>918</t>
  </si>
  <si>
    <t>Ricardo</t>
  </si>
  <si>
    <t>919</t>
  </si>
  <si>
    <t>Aron</t>
  </si>
  <si>
    <t>920</t>
  </si>
  <si>
    <t>921</t>
  </si>
  <si>
    <t>922</t>
  </si>
  <si>
    <t>923</t>
  </si>
  <si>
    <t xml:space="preserve">USADA </t>
  </si>
  <si>
    <t>LISTA 5</t>
  </si>
  <si>
    <t>LISTA 6</t>
  </si>
  <si>
    <t>LISTA 7</t>
  </si>
  <si>
    <t>LISTA 8</t>
  </si>
  <si>
    <t>LISTA 9</t>
  </si>
  <si>
    <t>LISTA 10</t>
  </si>
  <si>
    <t>LISTA 11</t>
  </si>
  <si>
    <t>94 CLIENTES</t>
  </si>
  <si>
    <t>LISTA 12</t>
  </si>
  <si>
    <t>LISTA 13</t>
  </si>
  <si>
    <t>LISTA 14</t>
  </si>
  <si>
    <t>LISTA 15</t>
  </si>
  <si>
    <t>LISTA 16</t>
  </si>
  <si>
    <t>LISTA 17</t>
  </si>
  <si>
    <t>LISTA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</si>
</sst>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[$$-2C0A]\ * #,##0.00_-;\-[$$-2C0A]\ * #,##0.00_-;_-[$$-2C0A]\ * &quot;-&quot;??_-;_-@_-"/>
    <numFmt numFmtId="165" formatCode="[$$-2C0A]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u/>
      <sz val="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4.9989318521683403E-2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theme="0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002060"/>
        <bgColor indexed="64"/>
      </patternFill>
    </fill>
    <fill>
      <patternFill patternType="solid">
        <fgColor theme="6" tint="-0.499984740745262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6" tint="0.39997558519241921"/>
        <bgColor theme="0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29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49" fontId="5" fillId="4" borderId="2" xfId="0" applyNumberFormat="1" applyFont="1" applyFill="1" applyBorder="1" applyAlignment="1" applyProtection="1">
      <alignment vertical="center"/>
      <protection locked="0"/>
    </xf>
    <xf numFmtId="0" fontId="2" fillId="2" borderId="2" xfId="0" applyFont="1" applyFill="1" applyBorder="1" applyAlignment="1">
      <alignment vertical="center"/>
    </xf>
    <xf numFmtId="0" fontId="5" fillId="5" borderId="4" xfId="0" applyFont="1" applyFill="1" applyBorder="1" applyAlignment="1" applyProtection="1">
      <alignment vertical="center"/>
      <protection locked="0"/>
    </xf>
    <xf numFmtId="0" fontId="5" fillId="5" borderId="5" xfId="0" applyFont="1" applyFill="1" applyBorder="1" applyAlignment="1" applyProtection="1">
      <alignment vertical="center"/>
      <protection locked="0"/>
    </xf>
    <xf numFmtId="49" fontId="3" fillId="5" borderId="6" xfId="0" applyNumberFormat="1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2" fontId="5" fillId="2" borderId="8" xfId="0" applyNumberFormat="1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49" fontId="3" fillId="2" borderId="8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7" fillId="5" borderId="10" xfId="0" applyNumberFormat="1" applyFont="1" applyFill="1" applyBorder="1" applyAlignment="1" applyProtection="1">
      <alignment horizontal="center" vertical="center"/>
      <protection locked="0"/>
    </xf>
    <xf numFmtId="49" fontId="7" fillId="5" borderId="13" xfId="0" applyNumberFormat="1" applyFont="1" applyFill="1" applyBorder="1" applyAlignment="1" applyProtection="1">
      <alignment horizontal="center" vertical="center"/>
      <protection locked="0"/>
    </xf>
    <xf numFmtId="0" fontId="3" fillId="5" borderId="13" xfId="0" applyFont="1" applyFill="1" applyBorder="1" applyAlignment="1">
      <alignment vertical="center"/>
    </xf>
    <xf numFmtId="0" fontId="7" fillId="5" borderId="10" xfId="0" applyFont="1" applyFill="1" applyBorder="1" applyAlignment="1">
      <alignment vertical="center"/>
    </xf>
    <xf numFmtId="0" fontId="7" fillId="5" borderId="11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164" fontId="7" fillId="5" borderId="14" xfId="0" applyNumberFormat="1" applyFont="1" applyFill="1" applyBorder="1" applyAlignment="1">
      <alignment vertical="center"/>
    </xf>
    <xf numFmtId="0" fontId="3" fillId="5" borderId="14" xfId="0" applyFont="1" applyFill="1" applyBorder="1" applyAlignment="1">
      <alignment horizontal="center" vertical="center"/>
    </xf>
    <xf numFmtId="44" fontId="7" fillId="5" borderId="13" xfId="2" applyFont="1" applyFill="1" applyBorder="1" applyAlignment="1" applyProtection="1">
      <alignment vertical="center"/>
    </xf>
    <xf numFmtId="49" fontId="7" fillId="5" borderId="15" xfId="0" applyNumberFormat="1" applyFont="1" applyFill="1" applyBorder="1" applyAlignment="1" applyProtection="1">
      <alignment horizontal="center" vertical="center"/>
      <protection locked="0"/>
    </xf>
    <xf numFmtId="49" fontId="7" fillId="5" borderId="16" xfId="0" applyNumberFormat="1" applyFont="1" applyFill="1" applyBorder="1" applyAlignment="1" applyProtection="1">
      <alignment horizontal="center" vertical="center"/>
      <protection locked="0"/>
    </xf>
    <xf numFmtId="0" fontId="3" fillId="5" borderId="16" xfId="0" applyFont="1" applyFill="1" applyBorder="1" applyAlignment="1">
      <alignment vertical="center"/>
    </xf>
    <xf numFmtId="0" fontId="7" fillId="5" borderId="15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16" xfId="0" applyFont="1" applyFill="1" applyBorder="1" applyAlignment="1">
      <alignment vertical="center"/>
    </xf>
    <xf numFmtId="164" fontId="7" fillId="5" borderId="17" xfId="0" applyNumberFormat="1" applyFont="1" applyFill="1" applyBorder="1" applyAlignment="1">
      <alignment vertical="center"/>
    </xf>
    <xf numFmtId="0" fontId="3" fillId="6" borderId="17" xfId="0" applyFont="1" applyFill="1" applyBorder="1" applyAlignment="1">
      <alignment horizontal="center" vertical="center"/>
    </xf>
    <xf numFmtId="44" fontId="7" fillId="5" borderId="16" xfId="2" applyFont="1" applyFill="1" applyBorder="1" applyAlignment="1" applyProtection="1">
      <alignment vertical="center"/>
    </xf>
    <xf numFmtId="0" fontId="3" fillId="5" borderId="17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vertical="center"/>
    </xf>
    <xf numFmtId="2" fontId="8" fillId="5" borderId="16" xfId="0" applyNumberFormat="1" applyFont="1" applyFill="1" applyBorder="1" applyAlignment="1">
      <alignment vertical="center"/>
    </xf>
    <xf numFmtId="49" fontId="7" fillId="5" borderId="15" xfId="0" applyNumberFormat="1" applyFont="1" applyFill="1" applyBorder="1" applyAlignment="1" applyProtection="1">
      <alignment horizontal="center" vertical="center"/>
      <protection locked="0"/>
    </xf>
    <xf numFmtId="49" fontId="7" fillId="5" borderId="16" xfId="0" applyNumberFormat="1" applyFont="1" applyFill="1" applyBorder="1" applyAlignment="1" applyProtection="1">
      <alignment horizontal="center" vertical="center"/>
      <protection locked="0"/>
    </xf>
    <xf numFmtId="49" fontId="7" fillId="7" borderId="15" xfId="0" applyNumberFormat="1" applyFont="1" applyFill="1" applyBorder="1" applyAlignment="1" applyProtection="1">
      <alignment horizontal="center" vertical="center"/>
      <protection locked="0"/>
    </xf>
    <xf numFmtId="49" fontId="7" fillId="7" borderId="16" xfId="0" applyNumberFormat="1" applyFont="1" applyFill="1" applyBorder="1" applyAlignment="1" applyProtection="1">
      <alignment horizontal="center" vertical="center"/>
      <protection locked="0"/>
    </xf>
    <xf numFmtId="0" fontId="3" fillId="7" borderId="16" xfId="0" applyFont="1" applyFill="1" applyBorder="1" applyAlignment="1">
      <alignment vertical="center"/>
    </xf>
    <xf numFmtId="0" fontId="3" fillId="7" borderId="18" xfId="0" applyFont="1" applyFill="1" applyBorder="1" applyAlignment="1">
      <alignment horizontal="center" vertical="center"/>
    </xf>
    <xf numFmtId="44" fontId="7" fillId="7" borderId="16" xfId="2" applyFont="1" applyFill="1" applyBorder="1" applyAlignment="1" applyProtection="1">
      <alignment vertical="center"/>
    </xf>
    <xf numFmtId="49" fontId="9" fillId="0" borderId="10" xfId="0" applyNumberFormat="1" applyFont="1" applyBorder="1" applyAlignment="1" applyProtection="1">
      <alignment horizontal="center" vertical="center" wrapText="1"/>
      <protection locked="0"/>
    </xf>
    <xf numFmtId="49" fontId="9" fillId="0" borderId="11" xfId="0" applyNumberFormat="1" applyFont="1" applyBorder="1" applyAlignment="1" applyProtection="1">
      <alignment horizontal="center" vertical="center" wrapText="1"/>
      <protection locked="0"/>
    </xf>
    <xf numFmtId="49" fontId="9" fillId="0" borderId="13" xfId="0" applyNumberFormat="1" applyFont="1" applyBorder="1" applyAlignment="1" applyProtection="1">
      <alignment horizontal="center" vertical="center" wrapText="1"/>
      <protection locked="0"/>
    </xf>
    <xf numFmtId="49" fontId="10" fillId="0" borderId="10" xfId="0" applyNumberFormat="1" applyFont="1" applyBorder="1" applyAlignment="1" applyProtection="1">
      <alignment horizontal="center" vertical="center"/>
      <protection locked="0"/>
    </xf>
    <xf numFmtId="49" fontId="10" fillId="0" borderId="11" xfId="0" applyNumberFormat="1" applyFont="1" applyBorder="1" applyAlignment="1" applyProtection="1">
      <alignment horizontal="center" vertical="center"/>
      <protection locked="0"/>
    </xf>
    <xf numFmtId="49" fontId="10" fillId="0" borderId="13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49" fontId="7" fillId="8" borderId="22" xfId="0" applyNumberFormat="1" applyFont="1" applyFill="1" applyBorder="1" applyAlignment="1" applyProtection="1">
      <alignment horizontal="center" vertical="center"/>
      <protection locked="0"/>
    </xf>
    <xf numFmtId="49" fontId="7" fillId="8" borderId="23" xfId="0" applyNumberFormat="1" applyFont="1" applyFill="1" applyBorder="1" applyAlignment="1" applyProtection="1">
      <alignment horizontal="center" vertical="center"/>
      <protection locked="0"/>
    </xf>
    <xf numFmtId="0" fontId="10" fillId="8" borderId="24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8" borderId="25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164" fontId="7" fillId="8" borderId="27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44" fontId="7" fillId="8" borderId="27" xfId="2" applyFont="1" applyFill="1" applyBorder="1" applyAlignment="1" applyProtection="1">
      <alignment vertical="center"/>
    </xf>
    <xf numFmtId="49" fontId="7" fillId="0" borderId="28" xfId="0" applyNumberFormat="1" applyFont="1" applyBorder="1" applyAlignment="1" applyProtection="1">
      <alignment horizontal="center" vertical="center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0" fillId="0" borderId="30" xfId="0" applyFont="1" applyBorder="1" applyAlignment="1">
      <alignment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64" fontId="7" fillId="0" borderId="30" xfId="0" applyNumberFormat="1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44" fontId="7" fillId="0" borderId="30" xfId="2" applyFont="1" applyFill="1" applyBorder="1" applyAlignment="1" applyProtection="1">
      <alignment vertical="center"/>
    </xf>
    <xf numFmtId="49" fontId="7" fillId="0" borderId="7" xfId="0" applyNumberFormat="1" applyFont="1" applyBorder="1" applyAlignment="1" applyProtection="1">
      <alignment horizontal="center" vertical="center"/>
      <protection locked="0"/>
    </xf>
    <xf numFmtId="49" fontId="7" fillId="0" borderId="8" xfId="0" applyNumberFormat="1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164" fontId="7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44" fontId="7" fillId="0" borderId="9" xfId="2" applyFont="1" applyFill="1" applyBorder="1" applyAlignment="1" applyProtection="1">
      <alignment vertical="center"/>
    </xf>
    <xf numFmtId="0" fontId="11" fillId="2" borderId="15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44" fontId="11" fillId="2" borderId="0" xfId="0" applyNumberFormat="1" applyFont="1" applyFill="1" applyAlignment="1">
      <alignment horizontal="center" vertical="center"/>
    </xf>
    <xf numFmtId="44" fontId="11" fillId="2" borderId="16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right" vertical="center"/>
    </xf>
    <xf numFmtId="0" fontId="11" fillId="2" borderId="8" xfId="0" applyFont="1" applyFill="1" applyBorder="1" applyAlignment="1">
      <alignment horizontal="right" vertical="center"/>
    </xf>
    <xf numFmtId="44" fontId="11" fillId="2" borderId="8" xfId="0" applyNumberFormat="1" applyFont="1" applyFill="1" applyBorder="1" applyAlignment="1">
      <alignment horizontal="center" vertical="center"/>
    </xf>
    <xf numFmtId="44" fontId="11" fillId="2" borderId="9" xfId="0" applyNumberFormat="1" applyFont="1" applyFill="1" applyBorder="1" applyAlignment="1">
      <alignment horizontal="center" vertical="center"/>
    </xf>
    <xf numFmtId="0" fontId="3" fillId="3" borderId="0" xfId="0" applyFont="1" applyFill="1" applyAlignment="1" applyProtection="1">
      <alignment vertical="center"/>
      <protection locked="0"/>
    </xf>
    <xf numFmtId="0" fontId="2" fillId="5" borderId="4" xfId="0" applyFont="1" applyFill="1" applyBorder="1" applyAlignment="1" applyProtection="1">
      <alignment vertical="center"/>
      <protection locked="0"/>
    </xf>
    <xf numFmtId="0" fontId="2" fillId="5" borderId="6" xfId="0" applyFont="1" applyFill="1" applyBorder="1" applyAlignment="1" applyProtection="1">
      <alignment vertical="center"/>
      <protection locked="0"/>
    </xf>
    <xf numFmtId="14" fontId="2" fillId="5" borderId="4" xfId="0" applyNumberFormat="1" applyFont="1" applyFill="1" applyBorder="1" applyAlignment="1" applyProtection="1">
      <alignment horizontal="center" vertical="center"/>
      <protection locked="0"/>
    </xf>
    <xf numFmtId="14" fontId="2" fillId="5" borderId="5" xfId="0" applyNumberFormat="1" applyFont="1" applyFill="1" applyBorder="1" applyAlignment="1" applyProtection="1">
      <alignment horizontal="center" vertical="center"/>
      <protection locked="0"/>
    </xf>
    <xf numFmtId="14" fontId="2" fillId="5" borderId="6" xfId="0" applyNumberFormat="1" applyFont="1" applyFill="1" applyBorder="1" applyAlignment="1" applyProtection="1">
      <alignment horizontal="center" vertical="center"/>
      <protection locked="0"/>
    </xf>
    <xf numFmtId="14" fontId="3" fillId="3" borderId="0" xfId="0" applyNumberFormat="1" applyFont="1" applyFill="1" applyAlignment="1" applyProtection="1">
      <alignment vertical="center"/>
      <protection locked="0"/>
    </xf>
    <xf numFmtId="0" fontId="12" fillId="3" borderId="31" xfId="0" applyFont="1" applyFill="1" applyBorder="1" applyAlignment="1" applyProtection="1">
      <alignment vertical="center"/>
      <protection locked="0"/>
    </xf>
    <xf numFmtId="0" fontId="2" fillId="5" borderId="4" xfId="0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12" fillId="3" borderId="32" xfId="0" applyFont="1" applyFill="1" applyBorder="1" applyAlignment="1" applyProtection="1">
      <alignment vertical="center"/>
      <protection locked="0"/>
    </xf>
    <xf numFmtId="0" fontId="4" fillId="5" borderId="33" xfId="0" applyFont="1" applyFill="1" applyBorder="1" applyAlignment="1" applyProtection="1">
      <alignment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0" fontId="3" fillId="3" borderId="31" xfId="0" applyFont="1" applyFill="1" applyBorder="1" applyAlignment="1" applyProtection="1">
      <alignment vertical="center"/>
      <protection locked="0"/>
    </xf>
    <xf numFmtId="0" fontId="3" fillId="3" borderId="32" xfId="0" applyFont="1" applyFill="1" applyBorder="1" applyAlignment="1" applyProtection="1">
      <alignment vertical="center"/>
      <protection locked="0"/>
    </xf>
    <xf numFmtId="0" fontId="5" fillId="5" borderId="33" xfId="0" applyFont="1" applyFill="1" applyBorder="1" applyAlignment="1" applyProtection="1">
      <alignment vertical="center"/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5" fillId="5" borderId="4" xfId="0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 applyProtection="1">
      <alignment horizontal="center" vertical="center"/>
      <protection locked="0"/>
    </xf>
    <xf numFmtId="0" fontId="5" fillId="5" borderId="6" xfId="0" applyFont="1" applyFill="1" applyBorder="1" applyAlignment="1" applyProtection="1">
      <alignment vertical="center"/>
      <protection locked="0"/>
    </xf>
    <xf numFmtId="0" fontId="5" fillId="5" borderId="4" xfId="0" applyFont="1" applyFill="1" applyBorder="1" applyAlignment="1" applyProtection="1">
      <alignment horizontal="left" vertical="center"/>
      <protection locked="0"/>
    </xf>
    <xf numFmtId="0" fontId="5" fillId="5" borderId="6" xfId="0" applyFont="1" applyFill="1" applyBorder="1" applyAlignment="1" applyProtection="1">
      <alignment horizontal="left" vertical="center"/>
      <protection locked="0"/>
    </xf>
    <xf numFmtId="0" fontId="3" fillId="5" borderId="31" xfId="0" applyFont="1" applyFill="1" applyBorder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horizontal="left" vertical="center"/>
      <protection locked="0"/>
    </xf>
    <xf numFmtId="0" fontId="3" fillId="5" borderId="32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12" fillId="3" borderId="0" xfId="0" applyFont="1" applyFill="1" applyAlignment="1" applyProtection="1">
      <alignment vertical="center"/>
      <protection locked="0"/>
    </xf>
    <xf numFmtId="0" fontId="6" fillId="5" borderId="33" xfId="0" applyFont="1" applyFill="1" applyBorder="1" applyAlignment="1" applyProtection="1">
      <alignment vertical="center"/>
      <protection locked="0"/>
    </xf>
    <xf numFmtId="49" fontId="7" fillId="5" borderId="31" xfId="0" applyNumberFormat="1" applyFont="1" applyFill="1" applyBorder="1" applyAlignment="1" applyProtection="1">
      <alignment vertical="center"/>
      <protection locked="0"/>
    </xf>
    <xf numFmtId="164" fontId="7" fillId="5" borderId="0" xfId="0" applyNumberFormat="1" applyFont="1" applyFill="1" applyAlignment="1">
      <alignment vertical="center"/>
    </xf>
    <xf numFmtId="12" fontId="7" fillId="5" borderId="0" xfId="1" applyNumberFormat="1" applyFont="1" applyFill="1" applyBorder="1" applyAlignment="1" applyProtection="1">
      <alignment vertical="center"/>
      <protection locked="0"/>
    </xf>
    <xf numFmtId="44" fontId="7" fillId="5" borderId="32" xfId="2" applyFont="1" applyFill="1" applyBorder="1" applyAlignment="1" applyProtection="1">
      <alignment vertical="center"/>
    </xf>
    <xf numFmtId="164" fontId="3" fillId="3" borderId="0" xfId="0" applyNumberFormat="1" applyFont="1" applyFill="1" applyAlignment="1" applyProtection="1">
      <alignment vertical="center"/>
      <protection locked="0"/>
    </xf>
    <xf numFmtId="49" fontId="7" fillId="5" borderId="34" xfId="0" applyNumberFormat="1" applyFont="1" applyFill="1" applyBorder="1" applyAlignment="1" applyProtection="1">
      <alignment horizontal="center" vertical="center"/>
      <protection locked="0"/>
    </xf>
    <xf numFmtId="49" fontId="7" fillId="5" borderId="35" xfId="0" applyNumberFormat="1" applyFont="1" applyFill="1" applyBorder="1" applyAlignment="1" applyProtection="1">
      <alignment horizontal="center" vertical="center"/>
      <protection locked="0"/>
    </xf>
    <xf numFmtId="164" fontId="7" fillId="5" borderId="34" xfId="0" applyNumberFormat="1" applyFont="1" applyFill="1" applyBorder="1" applyAlignment="1">
      <alignment horizontal="center" vertical="center"/>
    </xf>
    <xf numFmtId="164" fontId="7" fillId="5" borderId="11" xfId="0" applyNumberFormat="1" applyFont="1" applyFill="1" applyBorder="1" applyAlignment="1">
      <alignment horizontal="center" vertical="center"/>
    </xf>
    <xf numFmtId="164" fontId="7" fillId="5" borderId="35" xfId="0" applyNumberFormat="1" applyFont="1" applyFill="1" applyBorder="1" applyAlignment="1">
      <alignment horizontal="center" vertical="center"/>
    </xf>
    <xf numFmtId="49" fontId="7" fillId="5" borderId="36" xfId="0" applyNumberFormat="1" applyFont="1" applyFill="1" applyBorder="1" applyAlignment="1" applyProtection="1">
      <alignment horizontal="center" vertical="center"/>
      <protection locked="0"/>
    </xf>
    <xf numFmtId="49" fontId="7" fillId="5" borderId="37" xfId="0" applyNumberFormat="1" applyFont="1" applyFill="1" applyBorder="1" applyAlignment="1" applyProtection="1">
      <alignment horizontal="center" vertical="center"/>
      <protection locked="0"/>
    </xf>
    <xf numFmtId="164" fontId="7" fillId="5" borderId="36" xfId="0" applyNumberFormat="1" applyFont="1" applyFill="1" applyBorder="1" applyAlignment="1">
      <alignment horizontal="center" vertical="center"/>
    </xf>
    <xf numFmtId="164" fontId="7" fillId="5" borderId="38" xfId="0" applyNumberFormat="1" applyFont="1" applyFill="1" applyBorder="1" applyAlignment="1">
      <alignment horizontal="center" vertical="center"/>
    </xf>
    <xf numFmtId="164" fontId="7" fillId="5" borderId="37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 applyProtection="1">
      <alignment horizontal="center" vertical="center"/>
      <protection locked="0"/>
    </xf>
    <xf numFmtId="0" fontId="11" fillId="5" borderId="6" xfId="0" applyFont="1" applyFill="1" applyBorder="1" applyAlignment="1" applyProtection="1">
      <alignment horizontal="center" vertical="center"/>
      <protection locked="0"/>
    </xf>
    <xf numFmtId="44" fontId="11" fillId="5" borderId="4" xfId="0" applyNumberFormat="1" applyFont="1" applyFill="1" applyBorder="1" applyAlignment="1" applyProtection="1">
      <alignment horizontal="center" vertical="center"/>
      <protection locked="0"/>
    </xf>
    <xf numFmtId="44" fontId="11" fillId="5" borderId="5" xfId="0" applyNumberFormat="1" applyFont="1" applyFill="1" applyBorder="1" applyAlignment="1" applyProtection="1">
      <alignment horizontal="center" vertical="center"/>
      <protection locked="0"/>
    </xf>
    <xf numFmtId="44" fontId="11" fillId="5" borderId="6" xfId="0" applyNumberFormat="1" applyFont="1" applyFill="1" applyBorder="1" applyAlignment="1" applyProtection="1">
      <alignment horizontal="center" vertical="center"/>
      <protection locked="0"/>
    </xf>
    <xf numFmtId="164" fontId="13" fillId="3" borderId="0" xfId="0" applyNumberFormat="1" applyFont="1" applyFill="1" applyAlignment="1" applyProtection="1">
      <alignment vertical="center"/>
      <protection locked="0"/>
    </xf>
    <xf numFmtId="0" fontId="14" fillId="9" borderId="33" xfId="0" applyFont="1" applyFill="1" applyBorder="1" applyAlignment="1">
      <alignment vertical="center"/>
    </xf>
    <xf numFmtId="0" fontId="15" fillId="9" borderId="33" xfId="0" applyFont="1" applyFill="1" applyBorder="1" applyAlignment="1">
      <alignment vertical="center"/>
    </xf>
    <xf numFmtId="0" fontId="16" fillId="9" borderId="33" xfId="0" applyFont="1" applyFill="1" applyBorder="1" applyAlignment="1">
      <alignment vertical="center"/>
    </xf>
    <xf numFmtId="165" fontId="14" fillId="10" borderId="33" xfId="0" applyNumberFormat="1" applyFont="1" applyFill="1" applyBorder="1" applyAlignment="1">
      <alignment horizontal="center" vertical="center" shrinkToFit="1"/>
    </xf>
    <xf numFmtId="0" fontId="14" fillId="11" borderId="33" xfId="0" applyFont="1" applyFill="1" applyBorder="1" applyAlignment="1">
      <alignment horizontal="center" vertical="center" shrinkToFit="1"/>
    </xf>
    <xf numFmtId="9" fontId="14" fillId="12" borderId="33" xfId="0" applyNumberFormat="1" applyFont="1" applyFill="1" applyBorder="1" applyAlignment="1">
      <alignment horizontal="center" vertical="center" shrinkToFit="1"/>
    </xf>
    <xf numFmtId="9" fontId="14" fillId="13" borderId="33" xfId="0" applyNumberFormat="1" applyFont="1" applyFill="1" applyBorder="1" applyAlignment="1">
      <alignment horizontal="center" vertical="center" shrinkToFit="1"/>
    </xf>
    <xf numFmtId="9" fontId="14" fillId="14" borderId="33" xfId="0" applyNumberFormat="1" applyFont="1" applyFill="1" applyBorder="1" applyAlignment="1">
      <alignment horizontal="center" vertical="center" shrinkToFit="1"/>
    </xf>
    <xf numFmtId="9" fontId="14" fillId="11" borderId="33" xfId="0" applyNumberFormat="1" applyFont="1" applyFill="1" applyBorder="1" applyAlignment="1">
      <alignment horizontal="center" vertical="center" shrinkToFit="1"/>
    </xf>
    <xf numFmtId="9" fontId="14" fillId="15" borderId="33" xfId="0" applyNumberFormat="1" applyFont="1" applyFill="1" applyBorder="1" applyAlignment="1">
      <alignment horizontal="center" vertical="center" shrinkToFit="1"/>
    </xf>
    <xf numFmtId="0" fontId="14" fillId="16" borderId="33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/>
    </xf>
    <xf numFmtId="165" fontId="14" fillId="17" borderId="33" xfId="0" applyNumberFormat="1" applyFont="1" applyFill="1" applyBorder="1" applyAlignment="1">
      <alignment horizontal="center" vertical="center"/>
    </xf>
    <xf numFmtId="165" fontId="14" fillId="10" borderId="33" xfId="0" applyNumberFormat="1" applyFont="1" applyFill="1" applyBorder="1" applyAlignment="1">
      <alignment horizontal="center" vertical="center"/>
    </xf>
    <xf numFmtId="165" fontId="14" fillId="11" borderId="33" xfId="0" applyNumberFormat="1" applyFont="1" applyFill="1" applyBorder="1" applyAlignment="1">
      <alignment horizontal="center" vertical="center"/>
    </xf>
    <xf numFmtId="165" fontId="14" fillId="12" borderId="33" xfId="0" applyNumberFormat="1" applyFont="1" applyFill="1" applyBorder="1" applyAlignment="1">
      <alignment horizontal="center" vertical="center"/>
    </xf>
    <xf numFmtId="165" fontId="14" fillId="13" borderId="33" xfId="0" applyNumberFormat="1" applyFont="1" applyFill="1" applyBorder="1" applyAlignment="1">
      <alignment horizontal="center" vertical="center"/>
    </xf>
    <xf numFmtId="165" fontId="14" fillId="14" borderId="33" xfId="0" applyNumberFormat="1" applyFont="1" applyFill="1" applyBorder="1" applyAlignment="1">
      <alignment horizontal="center" vertical="center"/>
    </xf>
    <xf numFmtId="165" fontId="14" fillId="15" borderId="33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9" fontId="14" fillId="17" borderId="33" xfId="4" applyNumberFormat="1" applyFont="1" applyFill="1" applyBorder="1" applyAlignment="1">
      <alignment horizontal="center" vertical="center"/>
    </xf>
    <xf numFmtId="49" fontId="14" fillId="10" borderId="33" xfId="4" applyNumberFormat="1" applyFont="1" applyFill="1" applyBorder="1" applyAlignment="1">
      <alignment horizontal="center" vertical="center"/>
    </xf>
    <xf numFmtId="49" fontId="14" fillId="11" borderId="33" xfId="4" applyNumberFormat="1" applyFont="1" applyFill="1" applyBorder="1" applyAlignment="1">
      <alignment horizontal="center" vertical="center"/>
    </xf>
    <xf numFmtId="49" fontId="14" fillId="12" borderId="33" xfId="4" applyNumberFormat="1" applyFont="1" applyFill="1" applyBorder="1" applyAlignment="1">
      <alignment horizontal="center" vertical="center"/>
    </xf>
    <xf numFmtId="49" fontId="14" fillId="13" borderId="33" xfId="4" applyNumberFormat="1" applyFont="1" applyFill="1" applyBorder="1" applyAlignment="1">
      <alignment horizontal="center" vertical="center"/>
    </xf>
    <xf numFmtId="49" fontId="14" fillId="14" borderId="33" xfId="4" applyNumberFormat="1" applyFont="1" applyFill="1" applyBorder="1" applyAlignment="1">
      <alignment horizontal="center" vertical="center"/>
    </xf>
    <xf numFmtId="49" fontId="14" fillId="15" borderId="33" xfId="4" applyNumberFormat="1" applyFont="1" applyFill="1" applyBorder="1" applyAlignment="1">
      <alignment horizontal="center" vertical="center"/>
    </xf>
    <xf numFmtId="49" fontId="14" fillId="16" borderId="33" xfId="1" applyNumberFormat="1" applyFont="1" applyFill="1" applyBorder="1" applyAlignment="1">
      <alignment horizontal="center" vertical="center"/>
    </xf>
    <xf numFmtId="9" fontId="14" fillId="16" borderId="33" xfId="3" applyFont="1" applyFill="1" applyBorder="1" applyAlignment="1">
      <alignment horizontal="center" vertical="center"/>
    </xf>
    <xf numFmtId="49" fontId="4" fillId="9" borderId="33" xfId="0" applyNumberFormat="1" applyFont="1" applyFill="1" applyBorder="1" applyAlignment="1">
      <alignment vertical="center"/>
    </xf>
    <xf numFmtId="0" fontId="4" fillId="9" borderId="33" xfId="0" applyFont="1" applyFill="1" applyBorder="1" applyAlignment="1">
      <alignment vertical="center"/>
    </xf>
    <xf numFmtId="9" fontId="15" fillId="9" borderId="33" xfId="0" applyNumberFormat="1" applyFont="1" applyFill="1" applyBorder="1" applyAlignment="1">
      <alignment vertical="center"/>
    </xf>
    <xf numFmtId="164" fontId="15" fillId="16" borderId="33" xfId="2" applyNumberFormat="1" applyFont="1" applyFill="1" applyBorder="1" applyAlignment="1">
      <alignment vertical="center"/>
    </xf>
    <xf numFmtId="9" fontId="15" fillId="16" borderId="33" xfId="3" applyFont="1" applyFill="1" applyBorder="1" applyAlignment="1">
      <alignment vertical="center"/>
    </xf>
    <xf numFmtId="49" fontId="4" fillId="0" borderId="33" xfId="0" applyNumberFormat="1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164" fontId="15" fillId="10" borderId="33" xfId="0" applyNumberFormat="1" applyFont="1" applyFill="1" applyBorder="1" applyAlignment="1">
      <alignment vertical="center"/>
    </xf>
    <xf numFmtId="164" fontId="15" fillId="11" borderId="33" xfId="0" applyNumberFormat="1" applyFont="1" applyFill="1" applyBorder="1" applyAlignment="1">
      <alignment vertical="center"/>
    </xf>
    <xf numFmtId="164" fontId="15" fillId="12" borderId="33" xfId="0" applyNumberFormat="1" applyFont="1" applyFill="1" applyBorder="1" applyAlignment="1">
      <alignment vertical="center"/>
    </xf>
    <xf numFmtId="164" fontId="15" fillId="13" borderId="33" xfId="0" applyNumberFormat="1" applyFont="1" applyFill="1" applyBorder="1" applyAlignment="1">
      <alignment vertical="center"/>
    </xf>
    <xf numFmtId="164" fontId="15" fillId="14" borderId="33" xfId="0" applyNumberFormat="1" applyFont="1" applyFill="1" applyBorder="1" applyAlignment="1">
      <alignment vertical="center"/>
    </xf>
    <xf numFmtId="164" fontId="15" fillId="15" borderId="33" xfId="0" applyNumberFormat="1" applyFont="1" applyFill="1" applyBorder="1" applyAlignment="1">
      <alignment vertical="center"/>
    </xf>
    <xf numFmtId="164" fontId="15" fillId="16" borderId="33" xfId="3" applyNumberFormat="1" applyFont="1" applyFill="1" applyBorder="1" applyAlignment="1">
      <alignment vertical="center"/>
    </xf>
    <xf numFmtId="164" fontId="15" fillId="16" borderId="33" xfId="0" applyNumberFormat="1" applyFont="1" applyFill="1" applyBorder="1" applyAlignment="1">
      <alignment vertical="center"/>
    </xf>
    <xf numFmtId="49" fontId="4" fillId="6" borderId="33" xfId="0" applyNumberFormat="1" applyFont="1" applyFill="1" applyBorder="1" applyAlignment="1">
      <alignment vertical="center"/>
    </xf>
    <xf numFmtId="0" fontId="4" fillId="6" borderId="33" xfId="0" applyFont="1" applyFill="1" applyBorder="1" applyAlignment="1">
      <alignment vertical="center"/>
    </xf>
    <xf numFmtId="49" fontId="4" fillId="12" borderId="33" xfId="0" applyNumberFormat="1" applyFont="1" applyFill="1" applyBorder="1" applyAlignment="1">
      <alignment vertical="center"/>
    </xf>
    <xf numFmtId="0" fontId="4" fillId="12" borderId="33" xfId="0" applyFont="1" applyFill="1" applyBorder="1" applyAlignment="1">
      <alignment vertical="center"/>
    </xf>
    <xf numFmtId="0" fontId="14" fillId="12" borderId="33" xfId="0" applyFont="1" applyFill="1" applyBorder="1" applyAlignment="1">
      <alignment vertical="center"/>
    </xf>
    <xf numFmtId="49" fontId="4" fillId="18" borderId="33" xfId="0" applyNumberFormat="1" applyFont="1" applyFill="1" applyBorder="1" applyAlignment="1">
      <alignment vertical="center"/>
    </xf>
    <xf numFmtId="0" fontId="4" fillId="18" borderId="33" xfId="0" applyFont="1" applyFill="1" applyBorder="1" applyAlignment="1">
      <alignment vertical="center"/>
    </xf>
    <xf numFmtId="9" fontId="15" fillId="18" borderId="33" xfId="0" applyNumberFormat="1" applyFont="1" applyFill="1" applyBorder="1" applyAlignment="1">
      <alignment vertical="center"/>
    </xf>
    <xf numFmtId="0" fontId="4" fillId="19" borderId="33" xfId="0" applyFont="1" applyFill="1" applyBorder="1" applyAlignment="1">
      <alignment vertical="center"/>
    </xf>
    <xf numFmtId="44" fontId="7" fillId="3" borderId="0" xfId="2" applyFont="1" applyFill="1" applyAlignment="1">
      <alignment vertical="center"/>
    </xf>
    <xf numFmtId="9" fontId="7" fillId="3" borderId="0" xfId="3" applyFont="1" applyFill="1" applyAlignment="1">
      <alignment vertical="center"/>
    </xf>
    <xf numFmtId="49" fontId="4" fillId="5" borderId="33" xfId="0" applyNumberFormat="1" applyFont="1" applyFill="1" applyBorder="1" applyAlignment="1">
      <alignment vertical="center"/>
    </xf>
    <xf numFmtId="0" fontId="4" fillId="20" borderId="33" xfId="0" applyFont="1" applyFill="1" applyBorder="1" applyAlignment="1">
      <alignment vertical="center"/>
    </xf>
    <xf numFmtId="0" fontId="4" fillId="5" borderId="33" xfId="0" applyFont="1" applyFill="1" applyBorder="1" applyAlignment="1">
      <alignment vertical="center"/>
    </xf>
    <xf numFmtId="49" fontId="4" fillId="21" borderId="33" xfId="0" applyNumberFormat="1" applyFont="1" applyFill="1" applyBorder="1" applyAlignment="1">
      <alignment vertical="center"/>
    </xf>
    <xf numFmtId="0" fontId="4" fillId="21" borderId="33" xfId="0" applyFont="1" applyFill="1" applyBorder="1" applyAlignment="1">
      <alignment vertical="center"/>
    </xf>
    <xf numFmtId="9" fontId="4" fillId="19" borderId="33" xfId="0" applyNumberFormat="1" applyFont="1" applyFill="1" applyBorder="1" applyAlignment="1">
      <alignment vertical="center"/>
    </xf>
    <xf numFmtId="49" fontId="15" fillId="18" borderId="33" xfId="0" applyNumberFormat="1" applyFont="1" applyFill="1" applyBorder="1" applyAlignment="1">
      <alignment vertical="center"/>
    </xf>
    <xf numFmtId="0" fontId="15" fillId="18" borderId="33" xfId="0" applyFont="1" applyFill="1" applyBorder="1" applyAlignment="1">
      <alignment vertical="center"/>
    </xf>
    <xf numFmtId="49" fontId="4" fillId="22" borderId="33" xfId="0" applyNumberFormat="1" applyFont="1" applyFill="1" applyBorder="1" applyAlignment="1">
      <alignment vertical="center"/>
    </xf>
    <xf numFmtId="0" fontId="4" fillId="22" borderId="33" xfId="0" applyFont="1" applyFill="1" applyBorder="1" applyAlignment="1">
      <alignment vertical="center"/>
    </xf>
    <xf numFmtId="164" fontId="4" fillId="0" borderId="33" xfId="0" applyNumberFormat="1" applyFont="1" applyBorder="1" applyAlignment="1">
      <alignment vertical="center"/>
    </xf>
    <xf numFmtId="49" fontId="4" fillId="23" borderId="33" xfId="0" applyNumberFormat="1" applyFont="1" applyFill="1" applyBorder="1" applyAlignment="1">
      <alignment vertical="center"/>
    </xf>
    <xf numFmtId="0" fontId="4" fillId="23" borderId="33" xfId="0" applyFont="1" applyFill="1" applyBorder="1" applyAlignment="1">
      <alignment vertical="center"/>
    </xf>
    <xf numFmtId="0" fontId="4" fillId="24" borderId="33" xfId="0" applyFont="1" applyFill="1" applyBorder="1" applyAlignment="1">
      <alignment vertical="center"/>
    </xf>
    <xf numFmtId="0" fontId="4" fillId="25" borderId="33" xfId="0" applyFont="1" applyFill="1" applyBorder="1" applyAlignment="1">
      <alignment vertical="center"/>
    </xf>
    <xf numFmtId="49" fontId="15" fillId="15" borderId="33" xfId="0" applyNumberFormat="1" applyFont="1" applyFill="1" applyBorder="1" applyAlignment="1">
      <alignment vertical="center"/>
    </xf>
    <xf numFmtId="0" fontId="15" fillId="15" borderId="33" xfId="0" applyFont="1" applyFill="1" applyBorder="1" applyAlignment="1">
      <alignment vertical="center"/>
    </xf>
    <xf numFmtId="44" fontId="15" fillId="15" borderId="33" xfId="2" applyFont="1" applyFill="1" applyBorder="1" applyAlignment="1">
      <alignment vertical="center"/>
    </xf>
    <xf numFmtId="44" fontId="15" fillId="10" borderId="33" xfId="2" applyFont="1" applyFill="1" applyBorder="1" applyAlignment="1">
      <alignment vertical="center"/>
    </xf>
    <xf numFmtId="44" fontId="15" fillId="26" borderId="33" xfId="2" applyFont="1" applyFill="1" applyBorder="1" applyAlignment="1">
      <alignment vertical="center"/>
    </xf>
    <xf numFmtId="9" fontId="15" fillId="26" borderId="33" xfId="3" applyFont="1" applyFill="1" applyBorder="1" applyAlignment="1">
      <alignment vertical="center"/>
    </xf>
    <xf numFmtId="0" fontId="15" fillId="27" borderId="0" xfId="0" applyFont="1" applyFill="1" applyAlignment="1">
      <alignment vertical="center"/>
    </xf>
    <xf numFmtId="9" fontId="15" fillId="10" borderId="33" xfId="3" applyFont="1" applyFill="1" applyBorder="1" applyAlignment="1">
      <alignment vertical="center"/>
    </xf>
    <xf numFmtId="9" fontId="15" fillId="15" borderId="33" xfId="3" applyFont="1" applyFill="1" applyBorder="1" applyAlignment="1">
      <alignment vertical="center"/>
    </xf>
    <xf numFmtId="0" fontId="4" fillId="6" borderId="33" xfId="5" applyFont="1" applyFill="1" applyBorder="1" applyAlignment="1">
      <alignment vertical="center"/>
    </xf>
    <xf numFmtId="49" fontId="5" fillId="28" borderId="33" xfId="0" applyNumberFormat="1" applyFont="1" applyFill="1" applyBorder="1" applyAlignment="1">
      <alignment vertical="center"/>
    </xf>
    <xf numFmtId="0" fontId="5" fillId="28" borderId="33" xfId="0" applyFont="1" applyFill="1" applyBorder="1" applyAlignment="1">
      <alignment vertical="center"/>
    </xf>
    <xf numFmtId="0" fontId="11" fillId="28" borderId="33" xfId="5" applyFont="1" applyFill="1" applyBorder="1" applyAlignment="1">
      <alignment vertical="center"/>
    </xf>
    <xf numFmtId="49" fontId="4" fillId="28" borderId="33" xfId="0" applyNumberFormat="1" applyFont="1" applyFill="1" applyBorder="1" applyAlignment="1">
      <alignment vertical="center"/>
    </xf>
    <xf numFmtId="0" fontId="4" fillId="28" borderId="33" xfId="0" applyFont="1" applyFill="1" applyBorder="1" applyAlignment="1">
      <alignment vertical="center"/>
    </xf>
    <xf numFmtId="0" fontId="6" fillId="28" borderId="33" xfId="0" applyFont="1" applyFill="1" applyBorder="1" applyAlignment="1">
      <alignment vertical="center"/>
    </xf>
    <xf numFmtId="0" fontId="11" fillId="28" borderId="33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4" fillId="29" borderId="3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0" fillId="10" borderId="0" xfId="0" applyFill="1"/>
    <xf numFmtId="164" fontId="7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164" fontId="15" fillId="15" borderId="0" xfId="0" applyNumberFormat="1" applyFont="1" applyFill="1" applyAlignment="1">
      <alignment vertical="center"/>
    </xf>
    <xf numFmtId="164" fontId="7" fillId="26" borderId="0" xfId="0" applyNumberFormat="1" applyFont="1" applyFill="1" applyAlignment="1">
      <alignment vertical="center"/>
    </xf>
    <xf numFmtId="9" fontId="7" fillId="26" borderId="0" xfId="3" applyFont="1" applyFill="1" applyAlignment="1">
      <alignment vertical="center"/>
    </xf>
    <xf numFmtId="9" fontId="7" fillId="0" borderId="0" xfId="3" applyFont="1" applyFill="1" applyAlignment="1">
      <alignment vertical="center"/>
    </xf>
    <xf numFmtId="9" fontId="15" fillId="0" borderId="0" xfId="3" applyFont="1" applyFill="1" applyAlignment="1">
      <alignment vertical="center"/>
    </xf>
    <xf numFmtId="9" fontId="15" fillId="15" borderId="0" xfId="3" applyFont="1" applyFill="1" applyAlignment="1">
      <alignment vertical="center"/>
    </xf>
    <xf numFmtId="0" fontId="7" fillId="16" borderId="0" xfId="0" applyFont="1" applyFill="1" applyAlignment="1">
      <alignment vertical="center"/>
    </xf>
    <xf numFmtId="9" fontId="7" fillId="16" borderId="0" xfId="3" applyFont="1" applyFill="1" applyAlignment="1">
      <alignment vertical="center"/>
    </xf>
    <xf numFmtId="0" fontId="15" fillId="0" borderId="0" xfId="0" applyFont="1" applyAlignment="1">
      <alignment vertical="center"/>
    </xf>
    <xf numFmtId="0" fontId="15" fillId="15" borderId="0" xfId="0" applyFont="1" applyFill="1" applyAlignment="1">
      <alignment vertical="center"/>
    </xf>
    <xf numFmtId="1" fontId="18" fillId="3" borderId="0" xfId="0" applyNumberFormat="1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1" fontId="19" fillId="30" borderId="33" xfId="0" applyNumberFormat="1" applyFont="1" applyFill="1" applyBorder="1" applyAlignment="1">
      <alignment vertical="center"/>
    </xf>
    <xf numFmtId="0" fontId="19" fillId="30" borderId="33" xfId="0" applyFont="1" applyFill="1" applyBorder="1" applyAlignment="1">
      <alignment vertical="center" wrapText="1"/>
    </xf>
    <xf numFmtId="49" fontId="17" fillId="3" borderId="33" xfId="5" applyNumberFormat="1" applyFill="1" applyBorder="1" applyAlignment="1">
      <alignment vertical="center"/>
    </xf>
    <xf numFmtId="0" fontId="18" fillId="3" borderId="33" xfId="0" applyFont="1" applyFill="1" applyBorder="1" applyAlignment="1">
      <alignment horizontal="left" vertical="center"/>
    </xf>
    <xf numFmtId="0" fontId="18" fillId="3" borderId="33" xfId="0" applyFont="1" applyFill="1" applyBorder="1" applyAlignment="1">
      <alignment vertical="center"/>
    </xf>
    <xf numFmtId="49" fontId="18" fillId="22" borderId="33" xfId="0" applyNumberFormat="1" applyFont="1" applyFill="1" applyBorder="1" applyAlignment="1">
      <alignment vertical="center"/>
    </xf>
    <xf numFmtId="0" fontId="18" fillId="22" borderId="33" xfId="0" applyFont="1" applyFill="1" applyBorder="1" applyAlignment="1">
      <alignment horizontal="left" vertical="center"/>
    </xf>
    <xf numFmtId="0" fontId="18" fillId="22" borderId="33" xfId="0" applyFont="1" applyFill="1" applyBorder="1" applyAlignment="1">
      <alignment vertical="center"/>
    </xf>
    <xf numFmtId="49" fontId="18" fillId="3" borderId="33" xfId="0" applyNumberFormat="1" applyFont="1" applyFill="1" applyBorder="1" applyAlignment="1">
      <alignment vertical="center"/>
    </xf>
    <xf numFmtId="0" fontId="18" fillId="31" borderId="33" xfId="0" applyFont="1" applyFill="1" applyBorder="1" applyAlignment="1">
      <alignment horizontal="left" vertical="center"/>
    </xf>
    <xf numFmtId="18" fontId="18" fillId="22" borderId="33" xfId="0" applyNumberFormat="1" applyFont="1" applyFill="1" applyBorder="1" applyAlignment="1">
      <alignment vertical="center"/>
    </xf>
    <xf numFmtId="0" fontId="9" fillId="22" borderId="33" xfId="0" applyFont="1" applyFill="1" applyBorder="1" applyAlignment="1">
      <alignment vertical="center"/>
    </xf>
    <xf numFmtId="20" fontId="18" fillId="3" borderId="33" xfId="0" applyNumberFormat="1" applyFont="1" applyFill="1" applyBorder="1" applyAlignment="1">
      <alignment vertical="center"/>
    </xf>
    <xf numFmtId="16" fontId="18" fillId="22" borderId="33" xfId="0" applyNumberFormat="1" applyFont="1" applyFill="1" applyBorder="1" applyAlignment="1">
      <alignment vertical="center"/>
    </xf>
    <xf numFmtId="49" fontId="18" fillId="32" borderId="33" xfId="0" applyNumberFormat="1" applyFont="1" applyFill="1" applyBorder="1" applyAlignment="1">
      <alignment vertical="center"/>
    </xf>
    <xf numFmtId="0" fontId="18" fillId="32" borderId="33" xfId="0" applyFont="1" applyFill="1" applyBorder="1" applyAlignment="1">
      <alignment horizontal="left" vertical="center"/>
    </xf>
    <xf numFmtId="0" fontId="18" fillId="32" borderId="33" xfId="0" applyFont="1" applyFill="1" applyBorder="1" applyAlignment="1">
      <alignment vertical="center"/>
    </xf>
    <xf numFmtId="16" fontId="18" fillId="32" borderId="33" xfId="0" applyNumberFormat="1" applyFont="1" applyFill="1" applyBorder="1" applyAlignment="1">
      <alignment vertical="center"/>
    </xf>
    <xf numFmtId="16" fontId="9" fillId="22" borderId="33" xfId="0" applyNumberFormat="1" applyFont="1" applyFill="1" applyBorder="1" applyAlignment="1">
      <alignment vertical="center"/>
    </xf>
    <xf numFmtId="0" fontId="9" fillId="32" borderId="33" xfId="0" applyFont="1" applyFill="1" applyBorder="1" applyAlignment="1">
      <alignment horizontal="left" vertical="center"/>
    </xf>
    <xf numFmtId="20" fontId="18" fillId="22" borderId="33" xfId="0" applyNumberFormat="1" applyFont="1" applyFill="1" applyBorder="1" applyAlignment="1">
      <alignment vertical="center"/>
    </xf>
    <xf numFmtId="49" fontId="18" fillId="33" borderId="33" xfId="0" applyNumberFormat="1" applyFont="1" applyFill="1" applyBorder="1" applyAlignment="1">
      <alignment vertical="center"/>
    </xf>
    <xf numFmtId="0" fontId="18" fillId="33" borderId="33" xfId="0" applyFont="1" applyFill="1" applyBorder="1" applyAlignment="1">
      <alignment horizontal="left" vertical="center"/>
    </xf>
    <xf numFmtId="0" fontId="18" fillId="33" borderId="33" xfId="0" applyFont="1" applyFill="1" applyBorder="1" applyAlignment="1">
      <alignment vertical="center"/>
    </xf>
    <xf numFmtId="49" fontId="18" fillId="34" borderId="33" xfId="0" applyNumberFormat="1" applyFont="1" applyFill="1" applyBorder="1" applyAlignment="1">
      <alignment vertical="center"/>
    </xf>
    <xf numFmtId="0" fontId="18" fillId="34" borderId="33" xfId="0" applyFont="1" applyFill="1" applyBorder="1" applyAlignment="1">
      <alignment horizontal="left" vertical="center"/>
    </xf>
    <xf numFmtId="0" fontId="18" fillId="34" borderId="33" xfId="0" applyFont="1" applyFill="1" applyBorder="1" applyAlignment="1">
      <alignment vertical="center"/>
    </xf>
    <xf numFmtId="0" fontId="18" fillId="35" borderId="0" xfId="0" applyFont="1" applyFill="1" applyAlignment="1">
      <alignment horizontal="left" vertical="center"/>
    </xf>
    <xf numFmtId="0" fontId="18" fillId="35" borderId="0" xfId="0" applyFont="1" applyFill="1" applyAlignment="1">
      <alignment vertical="center"/>
    </xf>
    <xf numFmtId="0" fontId="18" fillId="16" borderId="0" xfId="0" applyFont="1" applyFill="1" applyAlignment="1">
      <alignment horizontal="left" vertical="center"/>
    </xf>
    <xf numFmtId="0" fontId="18" fillId="16" borderId="0" xfId="0" applyFont="1" applyFill="1" applyAlignment="1">
      <alignment vertical="center"/>
    </xf>
  </cellXfs>
  <cellStyles count="6">
    <cellStyle name="Hipervínculo" xfId="5" builtinId="8"/>
    <cellStyle name="Millares" xfId="1" builtinId="3"/>
    <cellStyle name="Millares 2" xfId="4" xr:uid="{A10BEB5E-9BE6-4E2C-AEF3-049A5C80DC94}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49</xdr:row>
      <xdr:rowOff>0</xdr:rowOff>
    </xdr:from>
    <xdr:to>
      <xdr:col>11</xdr:col>
      <xdr:colOff>725805</xdr:colOff>
      <xdr:row>51</xdr:row>
      <xdr:rowOff>123825</xdr:rowOff>
    </xdr:to>
    <xdr:sp macro="[1]!CARGAR_REMITO3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F4AA010-C270-4DAF-B76B-74D70A2E47A2}"/>
            </a:ext>
          </a:extLst>
        </xdr:cNvPr>
        <xdr:cNvSpPr/>
      </xdr:nvSpPr>
      <xdr:spPr>
        <a:xfrm>
          <a:off x="5581650" y="8772525"/>
          <a:ext cx="1392555" cy="457200"/>
        </a:xfrm>
        <a:prstGeom prst="roundRect">
          <a:avLst/>
        </a:prstGeom>
        <a:solidFill>
          <a:sysClr val="window" lastClr="FFFFFF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Cargar</a:t>
          </a:r>
          <a:r>
            <a:rPr lang="es-AR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remito</a:t>
          </a:r>
          <a:endParaRPr lang="es-A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331694</xdr:colOff>
      <xdr:row>27</xdr:row>
      <xdr:rowOff>44824</xdr:rowOff>
    </xdr:from>
    <xdr:to>
      <xdr:col>5</xdr:col>
      <xdr:colOff>556932</xdr:colOff>
      <xdr:row>28</xdr:row>
      <xdr:rowOff>142315</xdr:rowOff>
    </xdr:to>
    <xdr:sp macro="[1]!CARGAR_REMITO2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03F52733-2B75-48D0-8D3E-2CECF3796CD4}"/>
            </a:ext>
          </a:extLst>
        </xdr:cNvPr>
        <xdr:cNvSpPr/>
      </xdr:nvSpPr>
      <xdr:spPr>
        <a:xfrm>
          <a:off x="2341469" y="4454899"/>
          <a:ext cx="1387288" cy="287991"/>
        </a:xfrm>
        <a:prstGeom prst="roundRect">
          <a:avLst/>
        </a:prstGeom>
        <a:solidFill>
          <a:sysClr val="window" lastClr="FFFFFF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Cargar</a:t>
          </a:r>
          <a:r>
            <a:rPr lang="es-AR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remito</a:t>
          </a:r>
          <a:endParaRPr lang="es-A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0-%20Facturador%20General%20con%20totalizador%20MATIA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%20unidad\04-Facturador\00-Facturador%20general\00-%20Facturador%20General%20Crud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i%20unidad\00-%20Costeo%20Mercaderia%20-Nuevo%20Seba-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9-050-077"/>
      <sheetName val="VILLA TERRA"/>
      <sheetName val="ROCHA"/>
      <sheetName val="SEPTIEMBRE"/>
      <sheetName val="RINCON"/>
      <sheetName val="AL AMANECER"/>
      <sheetName val="NAZARENO"/>
      <sheetName val="ITALIA"/>
      <sheetName val="LINIERS"/>
      <sheetName val="035-IL Fiume"/>
      <sheetName val="CAZON"/>
      <sheetName val="CAZON SIEMPRE"/>
      <sheetName val="168 CAZON LUNES"/>
      <sheetName val="131 LaV"/>
      <sheetName val="131 SyD"/>
      <sheetName val="007 LUN A JUEV"/>
      <sheetName val="Facturacion Manual"/>
      <sheetName val="007 VIER Y SAB"/>
      <sheetName val="007 SAB REFU"/>
      <sheetName val="007 DOMINGOS"/>
      <sheetName val="Facturador Mañana (2)"/>
      <sheetName val="LPM con redondeo"/>
      <sheetName val="LPM al 30-06"/>
      <sheetName val="LPM Comparativo"/>
      <sheetName val="NC"/>
      <sheetName val="Totales Produccion"/>
      <sheetName val="Facturador Automatico"/>
      <sheetName val="HOY"/>
      <sheetName val="Facturador Mañana"/>
      <sheetName val="LPM"/>
      <sheetName val="PED ESPECIALES"/>
      <sheetName val="PARA PRODUCIR"/>
      <sheetName val="Clientes (2)"/>
      <sheetName val="Clientes"/>
      <sheetName val="LPM Vieja"/>
      <sheetName val="Listas De Precio"/>
      <sheetName val="Observaciones cambio listas"/>
      <sheetName val="LPM al 14-05"/>
      <sheetName val="LPM 28-02"/>
      <sheetName val="001-"/>
      <sheetName val="002-LaV"/>
      <sheetName val="002-V,SyD"/>
      <sheetName val="002-DOM"/>
      <sheetName val="003-"/>
      <sheetName val="005-"/>
      <sheetName val="006-"/>
      <sheetName val="009-"/>
      <sheetName val="009- SD"/>
      <sheetName val="163 - LUNES"/>
      <sheetName val="163 - M y J"/>
      <sheetName val="163 - V,S y D"/>
      <sheetName val="012-"/>
      <sheetName val="016 L"/>
      <sheetName val="016 M M"/>
      <sheetName val="016 JV"/>
      <sheetName val="016 SD"/>
      <sheetName val="017 L a V-"/>
      <sheetName val="017 S D"/>
      <sheetName val="018-"/>
      <sheetName val="018- VyS"/>
      <sheetName val="019-"/>
      <sheetName val="066 L a J"/>
      <sheetName val="071-"/>
      <sheetName val="066 V a D"/>
      <sheetName val="124"/>
      <sheetName val="085- SAB Y DOM"/>
      <sheetName val="106-"/>
      <sheetName val="113LMJ"/>
      <sheetName val="113 V"/>
      <sheetName val="113 SD"/>
      <sheetName val="115 L a V"/>
      <sheetName val="115 SAB "/>
      <sheetName val="115 DOM "/>
      <sheetName val="122-"/>
      <sheetName val="134-"/>
      <sheetName val="134-D"/>
      <sheetName val="135-"/>
      <sheetName val="139 L a V"/>
      <sheetName val="139 S D"/>
      <sheetName val="143 LUN"/>
      <sheetName val="143 MAR"/>
      <sheetName val="143 MIER"/>
      <sheetName val="143 JUEV"/>
      <sheetName val="143 Vie Y Sab"/>
      <sheetName val="143 DOM"/>
      <sheetName val="144 el viejo almacen natalia"/>
      <sheetName val="045 ABUELA TOTO"/>
      <sheetName val="158 LUN"/>
      <sheetName val="158 MAR A VIER"/>
      <sheetName val="158 SAB"/>
      <sheetName val="153 L"/>
      <sheetName val="153 M"/>
      <sheetName val="153 MI"/>
      <sheetName val="153 J"/>
      <sheetName val="153 V"/>
      <sheetName val="023 S y D"/>
      <sheetName val="023 L a V"/>
      <sheetName val="029 JUEVES"/>
      <sheetName val="029 VIERNES"/>
      <sheetName val="029 DOMINGO"/>
      <sheetName val="173 Mar A Sab"/>
      <sheetName val="162 SIEMPRE"/>
      <sheetName val="122-SIEMPRE"/>
      <sheetName val="PARA LLENAR"/>
    </sheetNames>
    <definedNames>
      <definedName name="CARGAR_REMITO2"/>
      <definedName name="CARGAR_REMITO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">
          <cell r="A2" t="str">
            <v xml:space="preserve">Lista </v>
          </cell>
          <cell r="B2" t="str">
            <v xml:space="preserve">Lista </v>
          </cell>
          <cell r="C2" t="str">
            <v xml:space="preserve">Lista </v>
          </cell>
          <cell r="D2" t="str">
            <v xml:space="preserve">Lista </v>
          </cell>
          <cell r="E2" t="str">
            <v xml:space="preserve">Lista </v>
          </cell>
          <cell r="F2" t="str">
            <v xml:space="preserve">Lista </v>
          </cell>
          <cell r="G2" t="str">
            <v xml:space="preserve">Lista </v>
          </cell>
          <cell r="H2" t="str">
            <v xml:space="preserve">Lista </v>
          </cell>
          <cell r="I2" t="str">
            <v xml:space="preserve">Lista </v>
          </cell>
          <cell r="J2" t="str">
            <v>Sin estructura</v>
          </cell>
          <cell r="K2" t="str">
            <v>Con Estructura</v>
          </cell>
          <cell r="L2" t="str">
            <v>Con estructura</v>
          </cell>
          <cell r="M2" t="str">
            <v>Con estructura</v>
          </cell>
        </row>
        <row r="3">
          <cell r="A3">
            <v>1</v>
          </cell>
          <cell r="B3">
            <v>2</v>
          </cell>
          <cell r="C3" t="str">
            <v>3</v>
          </cell>
          <cell r="D3" t="str">
            <v>4</v>
          </cell>
          <cell r="E3" t="str">
            <v>5</v>
          </cell>
          <cell r="F3" t="str">
            <v>6</v>
          </cell>
          <cell r="G3" t="str">
            <v>7</v>
          </cell>
          <cell r="H3" t="str">
            <v>8</v>
          </cell>
          <cell r="I3" t="str">
            <v>9</v>
          </cell>
          <cell r="M3" t="str">
            <v>%</v>
          </cell>
        </row>
        <row r="4">
          <cell r="C4" t="str">
            <v>PANES</v>
          </cell>
        </row>
        <row r="5">
          <cell r="A5" t="str">
            <v>0001</v>
          </cell>
          <cell r="B5" t="str">
            <v>PANES</v>
          </cell>
          <cell r="C5" t="str">
            <v>PAN COMUN MIGÑON</v>
          </cell>
          <cell r="D5">
            <v>4700</v>
          </cell>
          <cell r="E5">
            <v>2800</v>
          </cell>
          <cell r="F5">
            <v>2300</v>
          </cell>
          <cell r="G5">
            <v>2380</v>
          </cell>
          <cell r="H5">
            <v>2520</v>
          </cell>
          <cell r="I5">
            <v>2660</v>
          </cell>
          <cell r="J5">
            <v>527.57729777777774</v>
          </cell>
          <cell r="K5">
            <v>1759.5772977777779</v>
          </cell>
          <cell r="L5">
            <v>1040.4227022222221</v>
          </cell>
          <cell r="M5">
            <v>0.37157953650793646</v>
          </cell>
        </row>
        <row r="6">
          <cell r="A6" t="str">
            <v>0002</v>
          </cell>
          <cell r="B6" t="str">
            <v>PANES</v>
          </cell>
          <cell r="C6" t="str">
            <v>PAN COMUN MIGÑON BRAZZI ESCUELAS/JUANCHO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L6" t="str">
            <v/>
          </cell>
          <cell r="N6">
            <v>676.49365277777781</v>
          </cell>
        </row>
        <row r="7">
          <cell r="A7" t="str">
            <v>0003</v>
          </cell>
          <cell r="B7" t="str">
            <v>PANES</v>
          </cell>
          <cell r="C7" t="str">
            <v>CHIPS X KG</v>
          </cell>
          <cell r="D7">
            <v>6500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L7" t="str">
            <v/>
          </cell>
          <cell r="N7">
            <v>0</v>
          </cell>
        </row>
        <row r="8">
          <cell r="A8" t="str">
            <v>0006</v>
          </cell>
          <cell r="B8" t="str">
            <v>PANES</v>
          </cell>
          <cell r="C8" t="str">
            <v>SABORIZADOS</v>
          </cell>
          <cell r="D8">
            <v>10000</v>
          </cell>
          <cell r="E8">
            <v>4400</v>
          </cell>
          <cell r="F8">
            <v>3610</v>
          </cell>
          <cell r="G8">
            <v>3740</v>
          </cell>
          <cell r="H8">
            <v>3960</v>
          </cell>
          <cell r="I8">
            <v>4180</v>
          </cell>
          <cell r="L8" t="str">
            <v/>
          </cell>
          <cell r="N8">
            <v>1034.742025</v>
          </cell>
        </row>
        <row r="9">
          <cell r="A9" t="str">
            <v>0007</v>
          </cell>
          <cell r="B9" t="str">
            <v>PANES</v>
          </cell>
          <cell r="C9" t="str">
            <v>BOLLITOS</v>
          </cell>
          <cell r="D9">
            <v>8700</v>
          </cell>
          <cell r="E9">
            <v>4500</v>
          </cell>
          <cell r="F9">
            <v>3690</v>
          </cell>
          <cell r="G9">
            <v>3830</v>
          </cell>
          <cell r="H9">
            <v>4050</v>
          </cell>
          <cell r="I9">
            <v>4280</v>
          </cell>
          <cell r="L9" t="str">
            <v/>
          </cell>
          <cell r="N9">
            <v>985.90812499999993</v>
          </cell>
        </row>
        <row r="10">
          <cell r="A10" t="str">
            <v>0009</v>
          </cell>
          <cell r="B10" t="str">
            <v>PANES</v>
          </cell>
          <cell r="C10" t="str">
            <v>PAN DE PIZZA</v>
          </cell>
          <cell r="D10">
            <v>8700</v>
          </cell>
          <cell r="E10">
            <v>4400</v>
          </cell>
          <cell r="F10">
            <v>3610</v>
          </cell>
          <cell r="G10">
            <v>3740</v>
          </cell>
          <cell r="H10">
            <v>3960</v>
          </cell>
          <cell r="I10">
            <v>4180</v>
          </cell>
          <cell r="L10" t="str">
            <v/>
          </cell>
          <cell r="N10">
            <v>819.95008333333328</v>
          </cell>
        </row>
        <row r="11">
          <cell r="A11" t="str">
            <v>0010</v>
          </cell>
          <cell r="B11" t="str">
            <v>PANES</v>
          </cell>
          <cell r="C11" t="str">
            <v>PAN DE MASA MADRE KG</v>
          </cell>
          <cell r="D11">
            <v>8700</v>
          </cell>
          <cell r="E11">
            <v>7300</v>
          </cell>
          <cell r="F11">
            <v>5990</v>
          </cell>
          <cell r="G11">
            <v>6210</v>
          </cell>
          <cell r="H11">
            <v>6570</v>
          </cell>
          <cell r="I11">
            <v>6940</v>
          </cell>
          <cell r="L11" t="str">
            <v/>
          </cell>
          <cell r="N11">
            <v>2457.6848080808081</v>
          </cell>
        </row>
        <row r="12">
          <cell r="A12" t="str">
            <v>0011</v>
          </cell>
          <cell r="B12" t="str">
            <v>PANES</v>
          </cell>
          <cell r="C12" t="str">
            <v>PAN VIVANCO MIGÑON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L12" t="str">
            <v/>
          </cell>
          <cell r="N12" t="str">
            <v/>
          </cell>
        </row>
        <row r="13">
          <cell r="A13" t="str">
            <v>0012</v>
          </cell>
          <cell r="B13" t="str">
            <v>PANES</v>
          </cell>
          <cell r="C13" t="str">
            <v>PAN DE MOLDE CHICO (FETEADO) BLANCO</v>
          </cell>
          <cell r="D13">
            <v>7300</v>
          </cell>
          <cell r="E13">
            <v>3400</v>
          </cell>
          <cell r="F13">
            <v>2790</v>
          </cell>
          <cell r="G13">
            <v>2890</v>
          </cell>
          <cell r="H13">
            <v>3060</v>
          </cell>
          <cell r="I13">
            <v>3230</v>
          </cell>
          <cell r="L13" t="str">
            <v/>
          </cell>
          <cell r="N13">
            <v>314.04321666666664</v>
          </cell>
        </row>
        <row r="14">
          <cell r="A14" t="str">
            <v>0025</v>
          </cell>
          <cell r="B14" t="str">
            <v>PANES</v>
          </cell>
          <cell r="C14" t="str">
            <v>PAN DE MOLDE CHICO (FETEADO)  NEGRO</v>
          </cell>
          <cell r="D14">
            <v>7400</v>
          </cell>
          <cell r="E14">
            <v>5000</v>
          </cell>
          <cell r="F14">
            <v>4100</v>
          </cell>
          <cell r="G14">
            <v>4250</v>
          </cell>
          <cell r="H14">
            <v>4500</v>
          </cell>
          <cell r="I14">
            <v>4750</v>
          </cell>
          <cell r="L14" t="str">
            <v/>
          </cell>
          <cell r="N14">
            <v>3232.3794666666668</v>
          </cell>
        </row>
        <row r="15">
          <cell r="A15" t="str">
            <v>0026</v>
          </cell>
          <cell r="B15" t="str">
            <v>PANES</v>
          </cell>
          <cell r="C15" t="str">
            <v>PAN DE MOLDE GRANDE NEGRO</v>
          </cell>
          <cell r="D15">
            <v>10300</v>
          </cell>
          <cell r="E15">
            <v>10000</v>
          </cell>
          <cell r="F15">
            <v>8200</v>
          </cell>
          <cell r="G15">
            <v>8500</v>
          </cell>
          <cell r="H15">
            <v>9000</v>
          </cell>
          <cell r="I15">
            <v>9500</v>
          </cell>
          <cell r="L15" t="str">
            <v/>
          </cell>
          <cell r="N15">
            <v>6409.2031999999999</v>
          </cell>
        </row>
        <row r="16">
          <cell r="A16" t="str">
            <v>0017</v>
          </cell>
          <cell r="B16" t="str">
            <v>PANES</v>
          </cell>
          <cell r="C16" t="str">
            <v>PAN DE MOLDE GRANDE BLANCO</v>
          </cell>
          <cell r="D16">
            <v>8000</v>
          </cell>
          <cell r="E16">
            <v>3400</v>
          </cell>
          <cell r="F16">
            <v>2790</v>
          </cell>
          <cell r="G16">
            <v>2890</v>
          </cell>
          <cell r="H16">
            <v>3060</v>
          </cell>
          <cell r="I16">
            <v>3230</v>
          </cell>
          <cell r="L16" t="str">
            <v/>
          </cell>
          <cell r="N16">
            <v>563.85756249999997</v>
          </cell>
        </row>
        <row r="17">
          <cell r="A17" t="str">
            <v>0013</v>
          </cell>
          <cell r="B17" t="str">
            <v>PANES</v>
          </cell>
          <cell r="C17" t="str">
            <v>PAN DE CAMPO X UNIDAD</v>
          </cell>
          <cell r="D17">
            <v>2000</v>
          </cell>
          <cell r="E17">
            <v>1300</v>
          </cell>
          <cell r="F17">
            <v>1070</v>
          </cell>
          <cell r="G17">
            <v>1110</v>
          </cell>
          <cell r="H17">
            <v>1170</v>
          </cell>
          <cell r="I17">
            <v>1240</v>
          </cell>
          <cell r="L17" t="str">
            <v/>
          </cell>
          <cell r="N17">
            <v>306.67703749999998</v>
          </cell>
        </row>
        <row r="18">
          <cell r="A18" t="str">
            <v>0014</v>
          </cell>
          <cell r="B18" t="str">
            <v>PANES</v>
          </cell>
          <cell r="C18" t="str">
            <v>PAN DE CAMPO ZEPELLING BLANCO</v>
          </cell>
          <cell r="D18">
            <v>9500</v>
          </cell>
          <cell r="E18">
            <v>3200</v>
          </cell>
          <cell r="F18">
            <v>2620</v>
          </cell>
          <cell r="G18">
            <v>2720</v>
          </cell>
          <cell r="H18">
            <v>2880</v>
          </cell>
          <cell r="I18">
            <v>3040</v>
          </cell>
          <cell r="L18" t="str">
            <v/>
          </cell>
          <cell r="N18">
            <v>1351.7266444444444</v>
          </cell>
        </row>
        <row r="19">
          <cell r="A19" t="str">
            <v>0027</v>
          </cell>
          <cell r="B19" t="str">
            <v>PANES</v>
          </cell>
          <cell r="C19" t="str">
            <v>PAN DE CAMPO ZEPELLING MULTICERAL</v>
          </cell>
          <cell r="D19">
            <v>9500</v>
          </cell>
          <cell r="E19">
            <v>4300</v>
          </cell>
          <cell r="F19">
            <v>3530</v>
          </cell>
          <cell r="G19">
            <v>3660</v>
          </cell>
          <cell r="H19">
            <v>3870</v>
          </cell>
          <cell r="I19">
            <v>4090</v>
          </cell>
          <cell r="L19" t="str">
            <v/>
          </cell>
          <cell r="N19">
            <v>1351.7266444444444</v>
          </cell>
        </row>
        <row r="20">
          <cell r="A20" t="str">
            <v>0016</v>
          </cell>
          <cell r="B20" t="str">
            <v>PANES</v>
          </cell>
          <cell r="C20" t="str">
            <v xml:space="preserve">PAN RAYADO </v>
          </cell>
          <cell r="D20">
            <v>4700</v>
          </cell>
          <cell r="E20">
            <v>1400</v>
          </cell>
          <cell r="F20">
            <v>1150</v>
          </cell>
          <cell r="G20">
            <v>1190</v>
          </cell>
          <cell r="H20">
            <v>1260</v>
          </cell>
          <cell r="I20">
            <v>1330</v>
          </cell>
          <cell r="L20" t="str">
            <v/>
          </cell>
          <cell r="N20">
            <v>0</v>
          </cell>
        </row>
        <row r="21">
          <cell r="A21" t="str">
            <v>0018</v>
          </cell>
          <cell r="B21" t="str">
            <v>PANES</v>
          </cell>
          <cell r="C21" t="str">
            <v>NEGRITO</v>
          </cell>
          <cell r="D21">
            <v>8700</v>
          </cell>
          <cell r="E21">
            <v>4000</v>
          </cell>
          <cell r="F21">
            <v>3280</v>
          </cell>
          <cell r="G21">
            <v>3400</v>
          </cell>
          <cell r="H21">
            <v>3600</v>
          </cell>
          <cell r="I21">
            <v>3800</v>
          </cell>
          <cell r="L21" t="str">
            <v/>
          </cell>
          <cell r="N21">
            <v>981.42340000000002</v>
          </cell>
        </row>
        <row r="22">
          <cell r="A22" t="str">
            <v>0020</v>
          </cell>
          <cell r="B22" t="str">
            <v>PANES</v>
          </cell>
          <cell r="C22" t="str">
            <v>FIGASA</v>
          </cell>
          <cell r="D22">
            <v>8700</v>
          </cell>
          <cell r="E22">
            <v>4700</v>
          </cell>
          <cell r="F22">
            <v>3850</v>
          </cell>
          <cell r="G22">
            <v>4000</v>
          </cell>
          <cell r="H22">
            <v>4230</v>
          </cell>
          <cell r="I22">
            <v>4470</v>
          </cell>
          <cell r="L22" t="str">
            <v/>
          </cell>
          <cell r="N22">
            <v>981.42340000000002</v>
          </cell>
        </row>
        <row r="23">
          <cell r="A23" t="str">
            <v>0021</v>
          </cell>
          <cell r="B23" t="str">
            <v>PANES</v>
          </cell>
          <cell r="C23" t="str">
            <v>FLAUTA</v>
          </cell>
          <cell r="D23">
            <v>4700</v>
          </cell>
          <cell r="E23">
            <v>2800</v>
          </cell>
          <cell r="F23">
            <v>2300</v>
          </cell>
          <cell r="G23">
            <v>2380</v>
          </cell>
          <cell r="H23">
            <v>2520</v>
          </cell>
          <cell r="I23">
            <v>2660</v>
          </cell>
          <cell r="L23" t="str">
            <v/>
          </cell>
          <cell r="N23">
            <v>676.49365277777781</v>
          </cell>
        </row>
        <row r="24">
          <cell r="A24" t="str">
            <v>0022</v>
          </cell>
          <cell r="B24" t="str">
            <v>PANES</v>
          </cell>
          <cell r="C24" t="str">
            <v>MIGÑON</v>
          </cell>
          <cell r="D24">
            <v>4700</v>
          </cell>
          <cell r="E24">
            <v>2800</v>
          </cell>
          <cell r="F24">
            <v>2300</v>
          </cell>
          <cell r="G24">
            <v>2380</v>
          </cell>
          <cell r="H24">
            <v>2520</v>
          </cell>
          <cell r="I24">
            <v>2660</v>
          </cell>
          <cell r="L24" t="str">
            <v/>
          </cell>
          <cell r="N24">
            <v>676.49365277777781</v>
          </cell>
        </row>
        <row r="25">
          <cell r="A25" t="str">
            <v>0023</v>
          </cell>
          <cell r="B25" t="str">
            <v>PANES</v>
          </cell>
          <cell r="C25" t="str">
            <v>BAGUETIN</v>
          </cell>
          <cell r="D25">
            <v>4700</v>
          </cell>
          <cell r="E25">
            <v>2800</v>
          </cell>
          <cell r="F25">
            <v>2300</v>
          </cell>
          <cell r="G25">
            <v>2380</v>
          </cell>
          <cell r="H25">
            <v>2520</v>
          </cell>
          <cell r="I25">
            <v>2660</v>
          </cell>
          <cell r="L25" t="str">
            <v/>
          </cell>
          <cell r="N25">
            <v>676.49365277777781</v>
          </cell>
        </row>
        <row r="26">
          <cell r="A26" t="str">
            <v>0024</v>
          </cell>
          <cell r="B26" t="str">
            <v>PANES</v>
          </cell>
          <cell r="C26" t="str">
            <v>MILONGA</v>
          </cell>
          <cell r="D26">
            <v>4700</v>
          </cell>
          <cell r="E26">
            <v>2800</v>
          </cell>
          <cell r="F26">
            <v>2300</v>
          </cell>
          <cell r="G26">
            <v>2380</v>
          </cell>
          <cell r="H26">
            <v>2520</v>
          </cell>
          <cell r="I26">
            <v>2660</v>
          </cell>
          <cell r="L26" t="str">
            <v/>
          </cell>
          <cell r="N26">
            <v>676.49365277777781</v>
          </cell>
        </row>
        <row r="27">
          <cell r="A27" t="str">
            <v>0031</v>
          </cell>
          <cell r="B27" t="str">
            <v>PANES</v>
          </cell>
          <cell r="C27" t="str">
            <v>BAGUETTE LARGAS RUSTICAS BLANCAS (PAN DE CAMPO LARGO BLANCO)</v>
          </cell>
          <cell r="D27">
            <v>10700</v>
          </cell>
          <cell r="E27">
            <v>3200</v>
          </cell>
          <cell r="F27">
            <v>2620</v>
          </cell>
          <cell r="G27">
            <v>2720</v>
          </cell>
          <cell r="H27">
            <v>2880</v>
          </cell>
          <cell r="I27">
            <v>3040</v>
          </cell>
          <cell r="L27" t="str">
            <v/>
          </cell>
          <cell r="N27">
            <v>1351.7266444444444</v>
          </cell>
        </row>
        <row r="28">
          <cell r="A28" t="str">
            <v>0032</v>
          </cell>
          <cell r="B28" t="str">
            <v>PANES</v>
          </cell>
          <cell r="C28" t="str">
            <v>BAGUETTE LARGAS RUSTICAS NEGRA (PAN DE CAMPO LARGO NEGRO)</v>
          </cell>
          <cell r="D28">
            <v>10700</v>
          </cell>
          <cell r="E28">
            <v>3200</v>
          </cell>
          <cell r="F28">
            <v>2620</v>
          </cell>
          <cell r="G28">
            <v>2720</v>
          </cell>
          <cell r="H28">
            <v>2880</v>
          </cell>
          <cell r="I28">
            <v>3040</v>
          </cell>
          <cell r="L28" t="str">
            <v/>
          </cell>
          <cell r="N28">
            <v>1351.7266444444444</v>
          </cell>
        </row>
        <row r="29">
          <cell r="A29" t="str">
            <v>0034</v>
          </cell>
          <cell r="B29" t="str">
            <v>PANES</v>
          </cell>
          <cell r="C29" t="str">
            <v>PAN REDONDO NEGRO GRANDE</v>
          </cell>
          <cell r="D29">
            <v>13400</v>
          </cell>
          <cell r="E29">
            <v>8400</v>
          </cell>
          <cell r="F29">
            <v>6890</v>
          </cell>
          <cell r="G29">
            <v>7140</v>
          </cell>
          <cell r="H29">
            <v>7560</v>
          </cell>
          <cell r="I29">
            <v>7980</v>
          </cell>
          <cell r="L29" t="str">
            <v/>
          </cell>
          <cell r="N29">
            <v>1689.6583055555557</v>
          </cell>
        </row>
        <row r="30">
          <cell r="A30" t="str">
            <v>0035</v>
          </cell>
          <cell r="B30" t="str">
            <v>PANES</v>
          </cell>
          <cell r="C30" t="str">
            <v>PAN REDONDO BLANCO GRANDE</v>
          </cell>
          <cell r="D30">
            <v>13400</v>
          </cell>
          <cell r="E30">
            <v>8400</v>
          </cell>
          <cell r="F30">
            <v>6890</v>
          </cell>
          <cell r="G30">
            <v>7140</v>
          </cell>
          <cell r="H30">
            <v>7560</v>
          </cell>
          <cell r="I30">
            <v>7980</v>
          </cell>
          <cell r="L30" t="str">
            <v/>
          </cell>
          <cell r="N30">
            <v>1689.6583055555557</v>
          </cell>
        </row>
        <row r="31">
          <cell r="A31" t="str">
            <v>0036</v>
          </cell>
          <cell r="B31" t="str">
            <v>PANES</v>
          </cell>
          <cell r="C31" t="str">
            <v>ZEPELLING DOBLE GRANDE BLANCO</v>
          </cell>
          <cell r="D31">
            <v>13400</v>
          </cell>
          <cell r="E31">
            <v>8400</v>
          </cell>
          <cell r="F31">
            <v>6890</v>
          </cell>
          <cell r="G31">
            <v>7140</v>
          </cell>
          <cell r="H31">
            <v>7560</v>
          </cell>
          <cell r="I31">
            <v>7980</v>
          </cell>
          <cell r="L31" t="str">
            <v/>
          </cell>
          <cell r="N31" t="str">
            <v/>
          </cell>
        </row>
        <row r="32">
          <cell r="A32" t="str">
            <v>0037</v>
          </cell>
          <cell r="B32" t="str">
            <v>PANES</v>
          </cell>
          <cell r="C32" t="str">
            <v>ZEPELLING DOBLE GRANDE NEGRO</v>
          </cell>
          <cell r="D32">
            <v>13400</v>
          </cell>
          <cell r="E32">
            <v>8400</v>
          </cell>
          <cell r="F32">
            <v>6890</v>
          </cell>
          <cell r="G32">
            <v>7140</v>
          </cell>
          <cell r="H32">
            <v>7560</v>
          </cell>
          <cell r="I32">
            <v>7980</v>
          </cell>
          <cell r="L32" t="str">
            <v/>
          </cell>
          <cell r="N32" t="str">
            <v/>
          </cell>
        </row>
        <row r="33">
          <cell r="A33" t="str">
            <v>0038</v>
          </cell>
          <cell r="B33" t="str">
            <v>PANES</v>
          </cell>
          <cell r="C33" t="str">
            <v>ROCETAS</v>
          </cell>
          <cell r="D33">
            <v>8700</v>
          </cell>
          <cell r="E33">
            <v>7600</v>
          </cell>
          <cell r="F33">
            <v>6230</v>
          </cell>
          <cell r="G33">
            <v>6460</v>
          </cell>
          <cell r="H33">
            <v>6840</v>
          </cell>
          <cell r="I33">
            <v>7220</v>
          </cell>
          <cell r="L33" t="str">
            <v/>
          </cell>
          <cell r="N33" t="str">
            <v/>
          </cell>
        </row>
        <row r="34">
          <cell r="A34" t="str">
            <v>0039</v>
          </cell>
          <cell r="B34" t="str">
            <v>PANES</v>
          </cell>
          <cell r="C34" t="str">
            <v>FIGASAS SABORIZADA</v>
          </cell>
          <cell r="D34">
            <v>10000</v>
          </cell>
          <cell r="E34">
            <v>8800</v>
          </cell>
          <cell r="F34">
            <v>7220</v>
          </cell>
          <cell r="G34">
            <v>7480</v>
          </cell>
          <cell r="H34">
            <v>7920</v>
          </cell>
          <cell r="I34">
            <v>8360</v>
          </cell>
          <cell r="L34" t="str">
            <v/>
          </cell>
          <cell r="N34" t="str">
            <v/>
          </cell>
        </row>
        <row r="35">
          <cell r="A35" t="str">
            <v>0040</v>
          </cell>
          <cell r="B35" t="str">
            <v>PANES</v>
          </cell>
          <cell r="C35" t="str">
            <v>SLIDER</v>
          </cell>
          <cell r="D35">
            <v>8700</v>
          </cell>
          <cell r="E35">
            <v>7600</v>
          </cell>
          <cell r="F35">
            <v>6230</v>
          </cell>
          <cell r="G35">
            <v>6460</v>
          </cell>
          <cell r="H35">
            <v>6840</v>
          </cell>
          <cell r="I35">
            <v>7220</v>
          </cell>
          <cell r="L35" t="str">
            <v/>
          </cell>
          <cell r="N35" t="str">
            <v/>
          </cell>
        </row>
        <row r="36">
          <cell r="A36" t="str">
            <v>2041</v>
          </cell>
          <cell r="B36" t="str">
            <v>PANES</v>
          </cell>
          <cell r="C36" t="str">
            <v>PAN DE MOLDE INTEGRAL GDE</v>
          </cell>
          <cell r="E36">
            <v>6100</v>
          </cell>
          <cell r="F36">
            <v>5000</v>
          </cell>
          <cell r="G36">
            <v>5190</v>
          </cell>
          <cell r="H36">
            <v>5490</v>
          </cell>
          <cell r="I36">
            <v>5800</v>
          </cell>
        </row>
        <row r="37">
          <cell r="A37" t="str">
            <v>2042</v>
          </cell>
          <cell r="B37" t="str">
            <v>PANES</v>
          </cell>
          <cell r="C37" t="str">
            <v>PAN DE CAMPO INTEGRAL X UNIDAD</v>
          </cell>
          <cell r="E37">
            <v>5490</v>
          </cell>
          <cell r="F37">
            <v>4500</v>
          </cell>
          <cell r="G37">
            <v>4670</v>
          </cell>
          <cell r="H37">
            <v>4940</v>
          </cell>
          <cell r="I37">
            <v>5220</v>
          </cell>
        </row>
        <row r="38">
          <cell r="A38" t="str">
            <v>2043</v>
          </cell>
          <cell r="B38" t="str">
            <v>PANES</v>
          </cell>
          <cell r="C38" t="str">
            <v>BAGUETTE INTEGRAL X KG</v>
          </cell>
          <cell r="E38">
            <v>4880</v>
          </cell>
          <cell r="F38">
            <v>4000</v>
          </cell>
          <cell r="G38">
            <v>4150</v>
          </cell>
          <cell r="H38">
            <v>4390</v>
          </cell>
          <cell r="I38">
            <v>4640</v>
          </cell>
        </row>
        <row r="39">
          <cell r="C39" t="str">
            <v>BRAZZI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L39" t="str">
            <v/>
          </cell>
          <cell r="N39" t="str">
            <v/>
          </cell>
        </row>
        <row r="40">
          <cell r="A40" t="str">
            <v>0041</v>
          </cell>
          <cell r="B40" t="str">
            <v>PANES</v>
          </cell>
          <cell r="C40" t="str">
            <v>MULTICEREAL</v>
          </cell>
          <cell r="D40">
            <v>0</v>
          </cell>
          <cell r="E40">
            <v>8400</v>
          </cell>
          <cell r="F40">
            <v>6890</v>
          </cell>
          <cell r="G40">
            <v>7140</v>
          </cell>
          <cell r="H40">
            <v>7560</v>
          </cell>
          <cell r="I40">
            <v>7980</v>
          </cell>
          <cell r="L40" t="str">
            <v/>
          </cell>
          <cell r="N40" t="str">
            <v/>
          </cell>
        </row>
        <row r="41">
          <cell r="A41" t="str">
            <v>0042</v>
          </cell>
          <cell r="B41" t="str">
            <v>PANES</v>
          </cell>
          <cell r="C41" t="str">
            <v>MINI PAN DE CAMPO</v>
          </cell>
          <cell r="D41">
            <v>0</v>
          </cell>
          <cell r="E41">
            <v>1900</v>
          </cell>
          <cell r="F41">
            <v>1560</v>
          </cell>
          <cell r="G41">
            <v>1620</v>
          </cell>
          <cell r="H41">
            <v>1710</v>
          </cell>
          <cell r="I41">
            <v>1810</v>
          </cell>
          <cell r="L41" t="str">
            <v/>
          </cell>
          <cell r="N41" t="str">
            <v/>
          </cell>
        </row>
        <row r="42">
          <cell r="A42" t="str">
            <v>0043</v>
          </cell>
          <cell r="B42" t="str">
            <v>PANES</v>
          </cell>
          <cell r="C42" t="str">
            <v>GALLETAS LARGAS</v>
          </cell>
          <cell r="D42">
            <v>0</v>
          </cell>
          <cell r="E42">
            <v>7200</v>
          </cell>
          <cell r="F42">
            <v>5900</v>
          </cell>
          <cell r="G42">
            <v>6120</v>
          </cell>
          <cell r="H42">
            <v>6480</v>
          </cell>
          <cell r="I42">
            <v>6840</v>
          </cell>
          <cell r="L42" t="str">
            <v/>
          </cell>
          <cell r="N42" t="str">
            <v/>
          </cell>
        </row>
        <row r="43">
          <cell r="A43" t="str">
            <v>0044</v>
          </cell>
          <cell r="B43" t="str">
            <v>PANES</v>
          </cell>
          <cell r="C43" t="str">
            <v>GRISINES LARGOS</v>
          </cell>
          <cell r="D43">
            <v>0</v>
          </cell>
          <cell r="E43">
            <v>7200</v>
          </cell>
          <cell r="F43">
            <v>5900</v>
          </cell>
          <cell r="G43">
            <v>6120</v>
          </cell>
          <cell r="H43">
            <v>6480</v>
          </cell>
          <cell r="I43">
            <v>6840</v>
          </cell>
          <cell r="L43" t="str">
            <v/>
          </cell>
          <cell r="N43" t="str">
            <v/>
          </cell>
        </row>
        <row r="44">
          <cell r="A44" t="str">
            <v>0045</v>
          </cell>
          <cell r="B44" t="str">
            <v>PANES</v>
          </cell>
          <cell r="C44" t="str">
            <v>BOLLITOS CON SESAMO</v>
          </cell>
          <cell r="D44">
            <v>0</v>
          </cell>
          <cell r="E44">
            <v>4800</v>
          </cell>
          <cell r="F44">
            <v>3940</v>
          </cell>
          <cell r="G44">
            <v>4080</v>
          </cell>
          <cell r="H44">
            <v>4320</v>
          </cell>
          <cell r="I44">
            <v>4560</v>
          </cell>
          <cell r="L44" t="str">
            <v/>
          </cell>
          <cell r="N44" t="str">
            <v/>
          </cell>
        </row>
        <row r="45">
          <cell r="A45" t="str">
            <v>0046</v>
          </cell>
          <cell r="B45" t="str">
            <v>PANES</v>
          </cell>
          <cell r="C45" t="str">
            <v>FUGACITAS NEGRAS M N 5</v>
          </cell>
          <cell r="D45">
            <v>0</v>
          </cell>
          <cell r="E45">
            <v>4400</v>
          </cell>
          <cell r="F45">
            <v>3610</v>
          </cell>
          <cell r="G45">
            <v>3740</v>
          </cell>
          <cell r="H45">
            <v>3960</v>
          </cell>
          <cell r="I45">
            <v>4180</v>
          </cell>
          <cell r="L45" t="str">
            <v/>
          </cell>
          <cell r="N45" t="str">
            <v/>
          </cell>
        </row>
        <row r="46">
          <cell r="A46" t="str">
            <v>0047</v>
          </cell>
          <cell r="B46" t="str">
            <v>PANES</v>
          </cell>
          <cell r="C46" t="str">
            <v>MINI BRIOCHE</v>
          </cell>
          <cell r="D46">
            <v>0</v>
          </cell>
          <cell r="E46">
            <v>4800</v>
          </cell>
          <cell r="F46">
            <v>3940</v>
          </cell>
          <cell r="G46">
            <v>4080</v>
          </cell>
          <cell r="H46">
            <v>4320</v>
          </cell>
          <cell r="I46">
            <v>4560</v>
          </cell>
          <cell r="L46" t="str">
            <v/>
          </cell>
          <cell r="N46" t="str">
            <v/>
          </cell>
        </row>
        <row r="47">
          <cell r="A47" t="str">
            <v>0048</v>
          </cell>
          <cell r="B47" t="str">
            <v>PANES</v>
          </cell>
          <cell r="C47" t="str">
            <v>FIGACITAS DE MANTECA M N 5</v>
          </cell>
          <cell r="D47">
            <v>0</v>
          </cell>
          <cell r="E47">
            <v>4400</v>
          </cell>
          <cell r="F47">
            <v>3610</v>
          </cell>
          <cell r="G47">
            <v>3740</v>
          </cell>
          <cell r="H47">
            <v>3960</v>
          </cell>
          <cell r="I47">
            <v>4180</v>
          </cell>
          <cell r="L47" t="str">
            <v/>
          </cell>
          <cell r="N47" t="str">
            <v/>
          </cell>
        </row>
        <row r="48">
          <cell r="A48" t="str">
            <v>0049</v>
          </cell>
          <cell r="B48" t="str">
            <v>PANES</v>
          </cell>
          <cell r="C48" t="str">
            <v>MINI BOLLITOS</v>
          </cell>
          <cell r="D48">
            <v>0</v>
          </cell>
          <cell r="E48">
            <v>4800</v>
          </cell>
          <cell r="F48">
            <v>3940</v>
          </cell>
          <cell r="G48">
            <v>4080</v>
          </cell>
          <cell r="H48">
            <v>4320</v>
          </cell>
          <cell r="I48">
            <v>4560</v>
          </cell>
          <cell r="L48" t="str">
            <v/>
          </cell>
          <cell r="N48" t="str">
            <v/>
          </cell>
        </row>
        <row r="49">
          <cell r="A49" t="str">
            <v>0050</v>
          </cell>
          <cell r="B49" t="str">
            <v>PANES</v>
          </cell>
          <cell r="C49" t="str">
            <v>PLETSALAJ CON AMAPOLA</v>
          </cell>
          <cell r="D49">
            <v>0</v>
          </cell>
          <cell r="E49">
            <v>4800</v>
          </cell>
          <cell r="F49">
            <v>3940</v>
          </cell>
          <cell r="G49">
            <v>4080</v>
          </cell>
          <cell r="H49">
            <v>4320</v>
          </cell>
          <cell r="I49">
            <v>4560</v>
          </cell>
          <cell r="L49" t="str">
            <v/>
          </cell>
          <cell r="N49" t="str">
            <v/>
          </cell>
        </row>
        <row r="50">
          <cell r="A50" t="str">
            <v>0051</v>
          </cell>
          <cell r="B50" t="str">
            <v>PANES</v>
          </cell>
          <cell r="C50" t="str">
            <v>ALEMANCITOS X KG</v>
          </cell>
          <cell r="D50">
            <v>0</v>
          </cell>
          <cell r="E50">
            <v>4800</v>
          </cell>
          <cell r="F50">
            <v>3940</v>
          </cell>
          <cell r="G50">
            <v>4080</v>
          </cell>
          <cell r="H50">
            <v>4320</v>
          </cell>
          <cell r="I50">
            <v>4560</v>
          </cell>
          <cell r="L50" t="str">
            <v/>
          </cell>
          <cell r="N50" t="str">
            <v/>
          </cell>
        </row>
        <row r="51">
          <cell r="A51" t="str">
            <v>0052</v>
          </cell>
          <cell r="B51" t="str">
            <v>PANES</v>
          </cell>
          <cell r="C51" t="str">
            <v>FIGACITAS C/ SESAMO</v>
          </cell>
          <cell r="D51">
            <v>0</v>
          </cell>
          <cell r="E51">
            <v>4800</v>
          </cell>
          <cell r="F51">
            <v>3940</v>
          </cell>
          <cell r="G51">
            <v>4080</v>
          </cell>
          <cell r="H51">
            <v>4320</v>
          </cell>
          <cell r="I51">
            <v>4560</v>
          </cell>
          <cell r="L51" t="str">
            <v/>
          </cell>
          <cell r="N51" t="str">
            <v/>
          </cell>
        </row>
        <row r="52">
          <cell r="A52" t="str">
            <v>0053</v>
          </cell>
          <cell r="B52" t="str">
            <v>PANES</v>
          </cell>
          <cell r="C52" t="str">
            <v>BAGUETIN C/ QUESO</v>
          </cell>
          <cell r="D52">
            <v>0</v>
          </cell>
          <cell r="E52">
            <v>2000</v>
          </cell>
          <cell r="F52">
            <v>1640</v>
          </cell>
          <cell r="G52">
            <v>1700</v>
          </cell>
          <cell r="H52">
            <v>1800</v>
          </cell>
          <cell r="I52">
            <v>1900</v>
          </cell>
          <cell r="L52" t="str">
            <v/>
          </cell>
          <cell r="N52" t="str">
            <v/>
          </cell>
        </row>
        <row r="53">
          <cell r="A53" t="str">
            <v>0054</v>
          </cell>
          <cell r="B53" t="str">
            <v>PANES</v>
          </cell>
          <cell r="C53" t="str">
            <v>BAGUETIN C/ SEMILLAS</v>
          </cell>
          <cell r="D53">
            <v>0</v>
          </cell>
          <cell r="E53">
            <v>1700</v>
          </cell>
          <cell r="F53">
            <v>1390</v>
          </cell>
          <cell r="G53">
            <v>1450</v>
          </cell>
          <cell r="H53">
            <v>1530</v>
          </cell>
          <cell r="I53">
            <v>1620</v>
          </cell>
          <cell r="L53" t="str">
            <v/>
          </cell>
          <cell r="N53" t="str">
            <v/>
          </cell>
        </row>
        <row r="54">
          <cell r="A54" t="str">
            <v>0055</v>
          </cell>
          <cell r="B54" t="str">
            <v>PANES</v>
          </cell>
          <cell r="C54" t="str">
            <v>BAGUETIN S/ NADA</v>
          </cell>
          <cell r="D54">
            <v>0</v>
          </cell>
          <cell r="E54">
            <v>1700</v>
          </cell>
          <cell r="F54">
            <v>1390</v>
          </cell>
          <cell r="G54">
            <v>1450</v>
          </cell>
          <cell r="H54">
            <v>1530</v>
          </cell>
          <cell r="I54">
            <v>1620</v>
          </cell>
          <cell r="L54" t="str">
            <v/>
          </cell>
          <cell r="N54" t="str">
            <v/>
          </cell>
        </row>
        <row r="55">
          <cell r="C55" t="str">
            <v>CAZONA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0056</v>
          </cell>
          <cell r="B56" t="str">
            <v>PANES</v>
          </cell>
          <cell r="C56" t="str">
            <v>BOLLITOS SESAMO CATERING</v>
          </cell>
          <cell r="D56">
            <v>0</v>
          </cell>
          <cell r="E56">
            <v>5000</v>
          </cell>
          <cell r="F56">
            <v>4100</v>
          </cell>
          <cell r="G56">
            <v>4250</v>
          </cell>
          <cell r="H56">
            <v>4500</v>
          </cell>
          <cell r="I56">
            <v>4750</v>
          </cell>
        </row>
        <row r="57">
          <cell r="A57" t="str">
            <v>0057</v>
          </cell>
          <cell r="B57" t="str">
            <v>PANES</v>
          </cell>
          <cell r="C57" t="str">
            <v>BOLLITO SALVADO CATERING</v>
          </cell>
          <cell r="D57">
            <v>0</v>
          </cell>
          <cell r="E57">
            <v>5000</v>
          </cell>
          <cell r="F57">
            <v>4100</v>
          </cell>
          <cell r="G57">
            <v>4250</v>
          </cell>
          <cell r="H57">
            <v>4500</v>
          </cell>
          <cell r="I57">
            <v>4750</v>
          </cell>
        </row>
        <row r="58">
          <cell r="A58" t="str">
            <v>0058</v>
          </cell>
          <cell r="B58" t="str">
            <v>PANES</v>
          </cell>
          <cell r="C58" t="str">
            <v>BOLLITO SABORIZADO CATERING</v>
          </cell>
          <cell r="D58">
            <v>0</v>
          </cell>
          <cell r="E58">
            <v>5000</v>
          </cell>
          <cell r="F58">
            <v>4100</v>
          </cell>
          <cell r="G58">
            <v>4250</v>
          </cell>
          <cell r="H58">
            <v>4500</v>
          </cell>
          <cell r="I58">
            <v>4750</v>
          </cell>
        </row>
        <row r="59">
          <cell r="A59" t="str">
            <v>0059</v>
          </cell>
          <cell r="B59" t="str">
            <v>PANES</v>
          </cell>
          <cell r="C59" t="str">
            <v>PEBETITOS CATERING</v>
          </cell>
          <cell r="D59">
            <v>0</v>
          </cell>
          <cell r="E59">
            <v>5500</v>
          </cell>
          <cell r="F59">
            <v>4510</v>
          </cell>
          <cell r="G59">
            <v>4680</v>
          </cell>
          <cell r="H59">
            <v>4950</v>
          </cell>
          <cell r="I59">
            <v>5230</v>
          </cell>
        </row>
        <row r="60">
          <cell r="A60" t="str">
            <v>0060</v>
          </cell>
          <cell r="B60" t="str">
            <v>PANES</v>
          </cell>
          <cell r="C60" t="str">
            <v>BOLLITO CN 2 CORTES CATERING</v>
          </cell>
          <cell r="D60">
            <v>0</v>
          </cell>
          <cell r="E60">
            <v>5000</v>
          </cell>
          <cell r="F60">
            <v>4100</v>
          </cell>
          <cell r="G60">
            <v>4250</v>
          </cell>
          <cell r="H60">
            <v>4500</v>
          </cell>
          <cell r="I60">
            <v>4750</v>
          </cell>
        </row>
        <row r="61">
          <cell r="A61" t="str">
            <v>0061</v>
          </cell>
          <cell r="B61" t="str">
            <v>PANES</v>
          </cell>
          <cell r="C61" t="str">
            <v>FIGACITAS N5 S/PINTAR</v>
          </cell>
          <cell r="D61">
            <v>0</v>
          </cell>
          <cell r="E61">
            <v>5000</v>
          </cell>
          <cell r="F61">
            <v>4100</v>
          </cell>
          <cell r="G61">
            <v>4250</v>
          </cell>
          <cell r="H61">
            <v>4500</v>
          </cell>
          <cell r="I61">
            <v>4750</v>
          </cell>
        </row>
        <row r="62">
          <cell r="A62" t="str">
            <v>0062</v>
          </cell>
          <cell r="B62" t="str">
            <v>PANES</v>
          </cell>
          <cell r="C62" t="str">
            <v>MINI PANCHO X12 CATERING</v>
          </cell>
          <cell r="D62">
            <v>0</v>
          </cell>
          <cell r="E62">
            <v>2500</v>
          </cell>
          <cell r="F62">
            <v>2050</v>
          </cell>
          <cell r="G62">
            <v>2130</v>
          </cell>
          <cell r="H62">
            <v>2250</v>
          </cell>
          <cell r="I62">
            <v>2380</v>
          </cell>
        </row>
        <row r="63">
          <cell r="A63" t="str">
            <v>0063</v>
          </cell>
          <cell r="B63" t="str">
            <v>PANES</v>
          </cell>
          <cell r="C63" t="str">
            <v>HAMBURGUESITA 40G</v>
          </cell>
          <cell r="E63">
            <v>400</v>
          </cell>
          <cell r="F63">
            <v>330</v>
          </cell>
          <cell r="G63">
            <v>340</v>
          </cell>
          <cell r="H63">
            <v>360</v>
          </cell>
          <cell r="I63">
            <v>380</v>
          </cell>
        </row>
        <row r="64">
          <cell r="A64" t="str">
            <v>0064</v>
          </cell>
          <cell r="B64" t="str">
            <v>PANES</v>
          </cell>
          <cell r="C64" t="str">
            <v>HAMBURGUESA 60G</v>
          </cell>
          <cell r="E64">
            <v>500</v>
          </cell>
          <cell r="F64">
            <v>410</v>
          </cell>
          <cell r="G64">
            <v>430</v>
          </cell>
          <cell r="H64">
            <v>450</v>
          </cell>
          <cell r="I64">
            <v>480</v>
          </cell>
        </row>
        <row r="65">
          <cell r="C65" t="str">
            <v>PAN P/ SANDWICHES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L65" t="str">
            <v/>
          </cell>
          <cell r="N65" t="str">
            <v/>
          </cell>
        </row>
        <row r="66">
          <cell r="A66" t="str">
            <v>0101</v>
          </cell>
          <cell r="B66" t="str">
            <v>PAN P/ SANDWICHES</v>
          </cell>
          <cell r="C66" t="str">
            <v>ZAPATILLAS X UNIDAD</v>
          </cell>
          <cell r="D66">
            <v>1100</v>
          </cell>
          <cell r="E66">
            <v>900</v>
          </cell>
          <cell r="F66">
            <v>740</v>
          </cell>
          <cell r="G66">
            <v>770</v>
          </cell>
          <cell r="H66">
            <v>810</v>
          </cell>
          <cell r="I66">
            <v>860</v>
          </cell>
          <cell r="L66" t="str">
            <v/>
          </cell>
          <cell r="N66">
            <v>160.10780555555553</v>
          </cell>
        </row>
        <row r="67">
          <cell r="A67" t="str">
            <v>0102</v>
          </cell>
          <cell r="B67" t="str">
            <v>PAN P/ SANDWICHES</v>
          </cell>
          <cell r="C67" t="str">
            <v>ARABE X UNIDAD</v>
          </cell>
          <cell r="D67">
            <v>1100</v>
          </cell>
          <cell r="E67">
            <v>400</v>
          </cell>
          <cell r="F67">
            <v>330</v>
          </cell>
          <cell r="G67">
            <v>340</v>
          </cell>
          <cell r="H67">
            <v>360</v>
          </cell>
          <cell r="I67">
            <v>380</v>
          </cell>
          <cell r="L67" t="str">
            <v/>
          </cell>
          <cell r="N67">
            <v>44.540285714285709</v>
          </cell>
        </row>
        <row r="68">
          <cell r="A68" t="str">
            <v>0103</v>
          </cell>
          <cell r="B68" t="str">
            <v>PAN P/ SANDWICHES</v>
          </cell>
          <cell r="C68" t="str">
            <v>PEBETE X UNIDAD</v>
          </cell>
          <cell r="D68">
            <v>1100</v>
          </cell>
          <cell r="E68">
            <v>400</v>
          </cell>
          <cell r="F68">
            <v>330</v>
          </cell>
          <cell r="G68">
            <v>340</v>
          </cell>
          <cell r="H68">
            <v>360</v>
          </cell>
          <cell r="I68">
            <v>380</v>
          </cell>
          <cell r="L68" t="str">
            <v/>
          </cell>
          <cell r="N68">
            <v>206.36693333333335</v>
          </cell>
        </row>
        <row r="69">
          <cell r="A69" t="str">
            <v>0104</v>
          </cell>
          <cell r="B69" t="str">
            <v>PAN P/ SANDWICHES</v>
          </cell>
          <cell r="C69" t="str">
            <v>PEBETE X DOCENA</v>
          </cell>
          <cell r="D69">
            <v>8700</v>
          </cell>
          <cell r="E69">
            <v>5700</v>
          </cell>
          <cell r="F69">
            <v>4670</v>
          </cell>
          <cell r="G69">
            <v>4850</v>
          </cell>
          <cell r="H69">
            <v>5130</v>
          </cell>
          <cell r="I69">
            <v>5420</v>
          </cell>
          <cell r="L69" t="str">
            <v/>
          </cell>
          <cell r="N69">
            <v>2476.4032000000002</v>
          </cell>
        </row>
        <row r="70">
          <cell r="A70" t="str">
            <v>0105</v>
          </cell>
          <cell r="B70" t="str">
            <v>PAN P/ SANDWICHES</v>
          </cell>
          <cell r="C70" t="str">
            <v>SUPER PANCHO X UNIDAD</v>
          </cell>
          <cell r="D70">
            <v>300</v>
          </cell>
          <cell r="E70">
            <v>400</v>
          </cell>
          <cell r="F70">
            <v>330</v>
          </cell>
          <cell r="G70">
            <v>340</v>
          </cell>
          <cell r="H70">
            <v>360</v>
          </cell>
          <cell r="I70">
            <v>380</v>
          </cell>
          <cell r="L70" t="str">
            <v/>
          </cell>
          <cell r="N70">
            <v>102.71461666666666</v>
          </cell>
        </row>
        <row r="71">
          <cell r="A71" t="str">
            <v>0106</v>
          </cell>
          <cell r="B71" t="str">
            <v>PAN P/ SANDWICHES</v>
          </cell>
          <cell r="C71" t="str">
            <v>SUPER PANCHO X DOCENA</v>
          </cell>
          <cell r="D71">
            <v>5500</v>
          </cell>
          <cell r="E71">
            <v>5000</v>
          </cell>
          <cell r="F71">
            <v>4100</v>
          </cell>
          <cell r="G71">
            <v>4250</v>
          </cell>
          <cell r="H71">
            <v>4500</v>
          </cell>
          <cell r="I71">
            <v>4750</v>
          </cell>
          <cell r="L71" t="str">
            <v/>
          </cell>
          <cell r="N71">
            <v>1232.5754000000002</v>
          </cell>
        </row>
        <row r="72">
          <cell r="A72" t="str">
            <v>0107</v>
          </cell>
          <cell r="B72" t="str">
            <v>PAN P/ SANDWICHES</v>
          </cell>
          <cell r="C72" t="str">
            <v>SUPER PANCHO X 6</v>
          </cell>
          <cell r="D72">
            <v>3200</v>
          </cell>
          <cell r="E72">
            <v>2300</v>
          </cell>
          <cell r="F72">
            <v>1890</v>
          </cell>
          <cell r="G72">
            <v>1960</v>
          </cell>
          <cell r="H72">
            <v>2070</v>
          </cell>
          <cell r="I72">
            <v>2190</v>
          </cell>
          <cell r="L72" t="str">
            <v/>
          </cell>
          <cell r="N72">
            <v>616.28770000000009</v>
          </cell>
        </row>
        <row r="73">
          <cell r="A73" t="str">
            <v>0113</v>
          </cell>
          <cell r="B73" t="str">
            <v>PAN P/ SANDWICHES</v>
          </cell>
          <cell r="C73" t="str">
            <v>PANCHO CHICO X UNIDAD</v>
          </cell>
          <cell r="D73">
            <v>300</v>
          </cell>
          <cell r="E73">
            <v>600</v>
          </cell>
          <cell r="F73">
            <v>490</v>
          </cell>
          <cell r="G73">
            <v>510</v>
          </cell>
          <cell r="H73">
            <v>540</v>
          </cell>
          <cell r="I73">
            <v>570</v>
          </cell>
          <cell r="L73" t="str">
            <v/>
          </cell>
          <cell r="N73">
            <v>34.23820555555556</v>
          </cell>
        </row>
        <row r="74">
          <cell r="A74" t="str">
            <v>0114</v>
          </cell>
          <cell r="B74" t="str">
            <v>PAN P/ SANDWICHES</v>
          </cell>
          <cell r="C74" t="str">
            <v>PANCHO CHICO X 6</v>
          </cell>
          <cell r="D74">
            <v>2100</v>
          </cell>
          <cell r="E74">
            <v>3200</v>
          </cell>
          <cell r="F74">
            <v>2620</v>
          </cell>
          <cell r="G74">
            <v>2720</v>
          </cell>
          <cell r="H74">
            <v>2880</v>
          </cell>
          <cell r="I74">
            <v>3040</v>
          </cell>
          <cell r="L74" t="str">
            <v/>
          </cell>
          <cell r="N74">
            <v>0</v>
          </cell>
        </row>
        <row r="75">
          <cell r="A75" t="str">
            <v>0115</v>
          </cell>
          <cell r="B75" t="str">
            <v>PAN P/ SANDWICHES</v>
          </cell>
          <cell r="C75" t="str">
            <v>PANCHO CHICO X 12</v>
          </cell>
          <cell r="D75">
            <v>5100</v>
          </cell>
          <cell r="E75">
            <v>4100</v>
          </cell>
          <cell r="F75">
            <v>3360</v>
          </cell>
          <cell r="G75">
            <v>3490</v>
          </cell>
          <cell r="H75">
            <v>3690</v>
          </cell>
          <cell r="I75">
            <v>3900</v>
          </cell>
          <cell r="L75" t="str">
            <v/>
          </cell>
          <cell r="N75">
            <v>410.85846666666669</v>
          </cell>
        </row>
        <row r="76">
          <cell r="A76" t="str">
            <v>0109</v>
          </cell>
          <cell r="B76" t="str">
            <v>PAN P/ SANDWICHES</v>
          </cell>
          <cell r="C76" t="str">
            <v>HAMBURGUESA CHICA CON SEMILLAS</v>
          </cell>
          <cell r="D76">
            <v>870</v>
          </cell>
          <cell r="E76">
            <v>430</v>
          </cell>
          <cell r="F76">
            <v>350</v>
          </cell>
          <cell r="G76">
            <v>370</v>
          </cell>
          <cell r="H76">
            <v>390</v>
          </cell>
          <cell r="I76">
            <v>410</v>
          </cell>
          <cell r="L76" t="str">
            <v/>
          </cell>
          <cell r="N76">
            <v>1319.7273600000001</v>
          </cell>
        </row>
        <row r="77">
          <cell r="A77" t="str">
            <v>0110</v>
          </cell>
          <cell r="B77" t="str">
            <v>PAN P/ SANDWICHES</v>
          </cell>
          <cell r="C77" t="str">
            <v>HAMBURGUESA CHICA X 6</v>
          </cell>
          <cell r="D77">
            <v>5100</v>
          </cell>
          <cell r="E77">
            <v>2300</v>
          </cell>
          <cell r="F77">
            <v>1890</v>
          </cell>
          <cell r="G77">
            <v>1960</v>
          </cell>
          <cell r="H77">
            <v>2070</v>
          </cell>
          <cell r="I77">
            <v>2190</v>
          </cell>
          <cell r="L77" t="str">
            <v/>
          </cell>
          <cell r="N77">
            <v>0</v>
          </cell>
        </row>
        <row r="78">
          <cell r="A78" t="str">
            <v>0111</v>
          </cell>
          <cell r="B78" t="str">
            <v>PAN P/ SANDWICHES</v>
          </cell>
          <cell r="C78" t="str">
            <v>HAMBURGUESA GRANDE X UNIDAD</v>
          </cell>
          <cell r="D78">
            <v>1100</v>
          </cell>
          <cell r="E78">
            <v>400</v>
          </cell>
          <cell r="F78">
            <v>330</v>
          </cell>
          <cell r="G78">
            <v>340</v>
          </cell>
          <cell r="H78">
            <v>360</v>
          </cell>
          <cell r="I78">
            <v>380</v>
          </cell>
          <cell r="L78" t="str">
            <v/>
          </cell>
          <cell r="N78">
            <v>96.34492250000001</v>
          </cell>
        </row>
        <row r="79">
          <cell r="A79" t="str">
            <v>0112</v>
          </cell>
          <cell r="B79" t="str">
            <v>PAN P/ SANDWICHES</v>
          </cell>
          <cell r="C79" t="str">
            <v>HAMBURGUESA GRANDE X 6</v>
          </cell>
          <cell r="D79">
            <v>5500</v>
          </cell>
          <cell r="E79">
            <v>2400</v>
          </cell>
          <cell r="F79">
            <v>1970</v>
          </cell>
          <cell r="G79">
            <v>2040</v>
          </cell>
          <cell r="H79">
            <v>2160</v>
          </cell>
          <cell r="I79">
            <v>2280</v>
          </cell>
          <cell r="L79" t="str">
            <v/>
          </cell>
          <cell r="N79">
            <v>578.06953500000009</v>
          </cell>
        </row>
        <row r="80">
          <cell r="A80" t="str">
            <v>0125</v>
          </cell>
          <cell r="B80" t="str">
            <v>PAN P/ SANDWICHES</v>
          </cell>
          <cell r="C80" t="str">
            <v>HAMBURGUESA TIPO BIMBO</v>
          </cell>
          <cell r="D80">
            <v>1100</v>
          </cell>
          <cell r="E80">
            <v>900</v>
          </cell>
          <cell r="F80">
            <v>740</v>
          </cell>
          <cell r="G80">
            <v>770</v>
          </cell>
          <cell r="H80">
            <v>810</v>
          </cell>
          <cell r="I80">
            <v>860</v>
          </cell>
          <cell r="L80" t="str">
            <v/>
          </cell>
          <cell r="N80">
            <v>180.12128124999998</v>
          </cell>
        </row>
        <row r="81">
          <cell r="A81" t="str">
            <v>0117</v>
          </cell>
          <cell r="B81" t="str">
            <v>PAN P/ SANDWICHES</v>
          </cell>
          <cell r="C81" t="str">
            <v>PAN DE PAPA C/SEMILLA X UNI</v>
          </cell>
          <cell r="D81">
            <v>1700</v>
          </cell>
          <cell r="E81">
            <v>1000</v>
          </cell>
          <cell r="F81">
            <v>820</v>
          </cell>
          <cell r="G81">
            <v>850</v>
          </cell>
          <cell r="H81">
            <v>900</v>
          </cell>
          <cell r="I81">
            <v>950</v>
          </cell>
          <cell r="L81" t="str">
            <v/>
          </cell>
          <cell r="N81">
            <v>295.71677777777774</v>
          </cell>
        </row>
        <row r="82">
          <cell r="A82" t="str">
            <v>0118</v>
          </cell>
          <cell r="B82" t="str">
            <v>PAN P/ SANDWICHES</v>
          </cell>
          <cell r="C82" t="str">
            <v>PAN DE PAPA  C/SEMILLA X 2</v>
          </cell>
          <cell r="D82">
            <v>2100</v>
          </cell>
          <cell r="E82">
            <v>2000</v>
          </cell>
          <cell r="F82">
            <v>1640</v>
          </cell>
          <cell r="G82">
            <v>1700</v>
          </cell>
          <cell r="H82">
            <v>1800</v>
          </cell>
          <cell r="I82">
            <v>1900</v>
          </cell>
          <cell r="L82" t="str">
            <v/>
          </cell>
          <cell r="N82">
            <v>591.43355555555547</v>
          </cell>
        </row>
        <row r="83">
          <cell r="A83" t="str">
            <v>0119</v>
          </cell>
          <cell r="B83" t="str">
            <v>PAN P/ SANDWICHES</v>
          </cell>
          <cell r="C83" t="str">
            <v>PAN DE PAPA CON SEMILLA X 6</v>
          </cell>
          <cell r="D83">
            <v>6700</v>
          </cell>
          <cell r="E83">
            <v>6000</v>
          </cell>
          <cell r="F83">
            <v>4920</v>
          </cell>
          <cell r="G83">
            <v>5100</v>
          </cell>
          <cell r="H83">
            <v>5400</v>
          </cell>
          <cell r="I83">
            <v>5700</v>
          </cell>
          <cell r="L83" t="str">
            <v/>
          </cell>
          <cell r="N83">
            <v>1774.3006666666665</v>
          </cell>
        </row>
        <row r="84">
          <cell r="A84" t="str">
            <v>0122</v>
          </cell>
          <cell r="B84" t="str">
            <v>PAN P/ SANDWICHES</v>
          </cell>
          <cell r="C84" t="str">
            <v>PAN DE PAPA X UNI C/ QUESO</v>
          </cell>
          <cell r="D84">
            <v>2000</v>
          </cell>
          <cell r="E84">
            <v>1200</v>
          </cell>
          <cell r="F84">
            <v>980</v>
          </cell>
          <cell r="G84">
            <v>1020</v>
          </cell>
          <cell r="H84">
            <v>1080</v>
          </cell>
          <cell r="I84">
            <v>1140</v>
          </cell>
          <cell r="L84" t="str">
            <v/>
          </cell>
          <cell r="N84">
            <v>414.12902222222226</v>
          </cell>
        </row>
        <row r="85">
          <cell r="A85" t="str">
            <v>0123</v>
          </cell>
          <cell r="B85" t="str">
            <v>PAN P/ SANDWICHES</v>
          </cell>
          <cell r="C85" t="str">
            <v>ARABE POR DOCENA</v>
          </cell>
          <cell r="D85">
            <v>11700</v>
          </cell>
          <cell r="E85">
            <v>3900</v>
          </cell>
          <cell r="F85">
            <v>3200</v>
          </cell>
          <cell r="G85">
            <v>3320</v>
          </cell>
          <cell r="H85">
            <v>3510</v>
          </cell>
          <cell r="I85">
            <v>3710</v>
          </cell>
          <cell r="L85" t="str">
            <v/>
          </cell>
          <cell r="N85">
            <v>828.25804444444452</v>
          </cell>
        </row>
        <row r="86">
          <cell r="A86" t="str">
            <v>0124</v>
          </cell>
          <cell r="B86" t="str">
            <v>PAN P/ SANDWICHES</v>
          </cell>
          <cell r="C86" t="str">
            <v>PAN DE PAPA CON QUESO X 12</v>
          </cell>
          <cell r="D86">
            <v>11100</v>
          </cell>
          <cell r="E86">
            <v>14400</v>
          </cell>
          <cell r="F86">
            <v>11810</v>
          </cell>
          <cell r="G86">
            <v>12240</v>
          </cell>
          <cell r="H86">
            <v>12960</v>
          </cell>
          <cell r="I86">
            <v>13680</v>
          </cell>
          <cell r="L86" t="str">
            <v/>
          </cell>
          <cell r="N86">
            <v>3727.1612000000005</v>
          </cell>
        </row>
        <row r="87">
          <cell r="A87" t="str">
            <v>0128</v>
          </cell>
          <cell r="B87" t="str">
            <v>PAN P/ SANDWICHES</v>
          </cell>
          <cell r="C87" t="str">
            <v>SUPER PANCHO X DOCENA POMPEYA</v>
          </cell>
          <cell r="D87">
            <v>0</v>
          </cell>
          <cell r="E87">
            <v>4400</v>
          </cell>
          <cell r="F87">
            <v>3610</v>
          </cell>
          <cell r="G87">
            <v>3740</v>
          </cell>
          <cell r="H87">
            <v>3960</v>
          </cell>
          <cell r="I87">
            <v>4180</v>
          </cell>
          <cell r="L87" t="str">
            <v/>
          </cell>
          <cell r="N87" t="str">
            <v/>
          </cell>
        </row>
        <row r="88">
          <cell r="A88" t="str">
            <v>0129</v>
          </cell>
          <cell r="B88" t="str">
            <v>PAN P/ SANDWICHES</v>
          </cell>
          <cell r="C88" t="str">
            <v xml:space="preserve">FLAUTON GRANDE </v>
          </cell>
          <cell r="D88">
            <v>4700</v>
          </cell>
          <cell r="E88">
            <v>2800</v>
          </cell>
          <cell r="F88">
            <v>2300</v>
          </cell>
          <cell r="G88">
            <v>2380</v>
          </cell>
          <cell r="H88">
            <v>2520</v>
          </cell>
          <cell r="I88">
            <v>2660</v>
          </cell>
          <cell r="J88">
            <v>527.57729777777774</v>
          </cell>
          <cell r="K88">
            <v>1759.5772977777779</v>
          </cell>
          <cell r="L88">
            <v>1040.4227022222221</v>
          </cell>
          <cell r="M88">
            <v>0.37157953650793646</v>
          </cell>
        </row>
        <row r="89">
          <cell r="A89" t="str">
            <v>0130</v>
          </cell>
          <cell r="B89" t="str">
            <v>PAN P/ SANDWICHES</v>
          </cell>
          <cell r="C89" t="str">
            <v>ARABE INTEGRAL X UNIDAD</v>
          </cell>
          <cell r="E89">
            <v>850</v>
          </cell>
          <cell r="F89">
            <v>700</v>
          </cell>
          <cell r="G89">
            <v>720</v>
          </cell>
          <cell r="H89">
            <v>770</v>
          </cell>
          <cell r="I89">
            <v>810</v>
          </cell>
        </row>
        <row r="90">
          <cell r="C90" t="str">
            <v>ESPECIALES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L90" t="str">
            <v/>
          </cell>
          <cell r="N90" t="str">
            <v/>
          </cell>
        </row>
        <row r="91">
          <cell r="A91" t="str">
            <v>0217</v>
          </cell>
          <cell r="B91" t="str">
            <v>ESPECIALES</v>
          </cell>
          <cell r="C91" t="str">
            <v>PAN DE MIGA</v>
          </cell>
          <cell r="D91">
            <v>20700</v>
          </cell>
          <cell r="E91">
            <v>18900</v>
          </cell>
          <cell r="F91">
            <v>15500</v>
          </cell>
          <cell r="G91">
            <v>16070</v>
          </cell>
          <cell r="H91">
            <v>17010</v>
          </cell>
          <cell r="I91">
            <v>17960</v>
          </cell>
          <cell r="L91" t="str">
            <v/>
          </cell>
          <cell r="N91">
            <v>0</v>
          </cell>
        </row>
        <row r="92">
          <cell r="A92" t="str">
            <v>0201</v>
          </cell>
          <cell r="B92" t="str">
            <v>ESPECIALES</v>
          </cell>
          <cell r="C92" t="str">
            <v>CROISSANT X UNIDAD</v>
          </cell>
          <cell r="D92">
            <v>2100</v>
          </cell>
          <cell r="E92">
            <v>1500</v>
          </cell>
          <cell r="F92">
            <v>1230</v>
          </cell>
          <cell r="G92">
            <v>1280</v>
          </cell>
          <cell r="H92">
            <v>1350</v>
          </cell>
          <cell r="I92">
            <v>1430</v>
          </cell>
          <cell r="L92" t="str">
            <v/>
          </cell>
          <cell r="N92">
            <v>240.8166888888889</v>
          </cell>
        </row>
        <row r="93">
          <cell r="A93" t="str">
            <v>0202</v>
          </cell>
          <cell r="B93" t="str">
            <v>ESPECIALES</v>
          </cell>
          <cell r="C93" t="str">
            <v>CROISSANT X  2</v>
          </cell>
          <cell r="D93">
            <v>3900</v>
          </cell>
          <cell r="E93">
            <v>3000</v>
          </cell>
          <cell r="F93">
            <v>2460</v>
          </cell>
          <cell r="G93">
            <v>2550</v>
          </cell>
          <cell r="H93">
            <v>2700</v>
          </cell>
          <cell r="I93">
            <v>2850</v>
          </cell>
          <cell r="J93">
            <v>1131.2467496296297</v>
          </cell>
          <cell r="K93">
            <v>2231.2467496296294</v>
          </cell>
          <cell r="L93">
            <v>768.75325037037055</v>
          </cell>
          <cell r="M93">
            <v>0.25625108345679021</v>
          </cell>
          <cell r="N93">
            <v>481.63337777777781</v>
          </cell>
        </row>
        <row r="94">
          <cell r="A94" t="str">
            <v>0204</v>
          </cell>
          <cell r="B94" t="str">
            <v>ESPECIALES</v>
          </cell>
          <cell r="C94" t="str">
            <v>CHIPA  X UNIDAD</v>
          </cell>
          <cell r="D94">
            <v>2000</v>
          </cell>
          <cell r="E94">
            <v>1200</v>
          </cell>
          <cell r="F94">
            <v>980</v>
          </cell>
          <cell r="G94">
            <v>1020</v>
          </cell>
          <cell r="H94">
            <v>1080</v>
          </cell>
          <cell r="I94">
            <v>1140</v>
          </cell>
          <cell r="L94" t="str">
            <v/>
          </cell>
          <cell r="N94">
            <v>253.0655851851852</v>
          </cell>
        </row>
        <row r="95">
          <cell r="A95" t="str">
            <v>0205</v>
          </cell>
          <cell r="B95" t="str">
            <v>ESPECIALES</v>
          </cell>
          <cell r="C95" t="str">
            <v>CHIPA  X 6</v>
          </cell>
          <cell r="D95">
            <v>7700</v>
          </cell>
          <cell r="E95">
            <v>3600</v>
          </cell>
          <cell r="F95">
            <v>2950</v>
          </cell>
          <cell r="G95">
            <v>3060</v>
          </cell>
          <cell r="H95">
            <v>3240</v>
          </cell>
          <cell r="I95">
            <v>3420</v>
          </cell>
          <cell r="L95" t="str">
            <v/>
          </cell>
          <cell r="N95">
            <v>1518.3935111111111</v>
          </cell>
        </row>
        <row r="96">
          <cell r="A96" t="str">
            <v>0206</v>
          </cell>
          <cell r="B96" t="str">
            <v>ESPECIALES</v>
          </cell>
          <cell r="C96" t="str">
            <v>BIZCOCHO DE GRASA</v>
          </cell>
          <cell r="D96">
            <v>25900</v>
          </cell>
          <cell r="E96">
            <v>13500</v>
          </cell>
          <cell r="F96">
            <v>11070</v>
          </cell>
          <cell r="G96">
            <v>11480</v>
          </cell>
          <cell r="H96">
            <v>12150</v>
          </cell>
          <cell r="I96">
            <v>12830</v>
          </cell>
          <cell r="L96" t="str">
            <v/>
          </cell>
          <cell r="N96">
            <v>717.8843733333332</v>
          </cell>
        </row>
        <row r="97">
          <cell r="A97" t="str">
            <v>0207</v>
          </cell>
          <cell r="B97" t="str">
            <v>ESPECIALES</v>
          </cell>
          <cell r="C97" t="str">
            <v>BIZCOCHO/CUERNITO DE GRASA  X 1/4</v>
          </cell>
          <cell r="D97">
            <v>8000</v>
          </cell>
          <cell r="E97">
            <v>3300</v>
          </cell>
          <cell r="F97">
            <v>2710</v>
          </cell>
          <cell r="G97">
            <v>2810</v>
          </cell>
          <cell r="H97">
            <v>2970</v>
          </cell>
          <cell r="I97">
            <v>3140</v>
          </cell>
          <cell r="L97" t="str">
            <v/>
          </cell>
          <cell r="N97">
            <v>179.4710933333333</v>
          </cell>
        </row>
        <row r="98">
          <cell r="A98" t="str">
            <v>0229</v>
          </cell>
          <cell r="B98" t="str">
            <v>ESPECIALES</v>
          </cell>
          <cell r="C98" t="str">
            <v>CUERNITOS DE GRASA X KG</v>
          </cell>
          <cell r="D98">
            <v>33700</v>
          </cell>
          <cell r="E98">
            <v>13500</v>
          </cell>
          <cell r="F98">
            <v>11070</v>
          </cell>
          <cell r="G98">
            <v>11480</v>
          </cell>
          <cell r="H98">
            <v>12150</v>
          </cell>
          <cell r="I98">
            <v>12830</v>
          </cell>
          <cell r="L98" t="str">
            <v/>
          </cell>
          <cell r="N98">
            <v>961.45228571428561</v>
          </cell>
        </row>
        <row r="99">
          <cell r="A99" t="str">
            <v>0230</v>
          </cell>
          <cell r="B99" t="str">
            <v>ESPECIALES</v>
          </cell>
          <cell r="C99" t="str">
            <v>CUERNITOS DE GRASA X 1/4</v>
          </cell>
          <cell r="D99">
            <v>8500</v>
          </cell>
          <cell r="E99">
            <v>3300</v>
          </cell>
          <cell r="F99">
            <v>2710</v>
          </cell>
          <cell r="G99">
            <v>2810</v>
          </cell>
          <cell r="H99">
            <v>2970</v>
          </cell>
          <cell r="I99">
            <v>3140</v>
          </cell>
          <cell r="L99" t="str">
            <v/>
          </cell>
          <cell r="N99">
            <v>240.3630714285714</v>
          </cell>
        </row>
        <row r="100">
          <cell r="A100" t="str">
            <v>0210</v>
          </cell>
          <cell r="B100" t="str">
            <v>ESPECIALES</v>
          </cell>
          <cell r="C100" t="str">
            <v>GALLETA DE GRASA</v>
          </cell>
          <cell r="D100">
            <v>13200</v>
          </cell>
          <cell r="E100">
            <v>4300</v>
          </cell>
          <cell r="F100">
            <v>3530</v>
          </cell>
          <cell r="G100">
            <v>3660</v>
          </cell>
          <cell r="H100">
            <v>3870</v>
          </cell>
          <cell r="I100">
            <v>4090</v>
          </cell>
          <cell r="L100" t="str">
            <v/>
          </cell>
          <cell r="N100">
            <v>350.56453636363636</v>
          </cell>
        </row>
        <row r="101">
          <cell r="A101" t="str">
            <v>0211</v>
          </cell>
          <cell r="B101" t="str">
            <v>ESPECIALES</v>
          </cell>
          <cell r="C101" t="str">
            <v>GALLETA DE GRASA X 1/4</v>
          </cell>
          <cell r="D101">
            <v>3400</v>
          </cell>
          <cell r="E101">
            <v>1700</v>
          </cell>
          <cell r="F101">
            <v>1390</v>
          </cell>
          <cell r="G101">
            <v>1450</v>
          </cell>
          <cell r="H101">
            <v>1530</v>
          </cell>
          <cell r="I101">
            <v>1620</v>
          </cell>
          <cell r="L101" t="str">
            <v/>
          </cell>
          <cell r="N101">
            <v>87.641134090909091</v>
          </cell>
        </row>
        <row r="102">
          <cell r="A102" t="str">
            <v>0223</v>
          </cell>
          <cell r="B102" t="str">
            <v>ESPECIALES</v>
          </cell>
          <cell r="C102" t="str">
            <v>GALLETA DE GRASA C/QUESO X KG</v>
          </cell>
          <cell r="D102">
            <v>25500</v>
          </cell>
          <cell r="E102">
            <v>16800</v>
          </cell>
          <cell r="F102">
            <v>13780</v>
          </cell>
          <cell r="G102">
            <v>14280</v>
          </cell>
          <cell r="H102">
            <v>15120</v>
          </cell>
          <cell r="I102">
            <v>15960</v>
          </cell>
          <cell r="L102" t="str">
            <v/>
          </cell>
          <cell r="N102">
            <v>1034.2062000000001</v>
          </cell>
        </row>
        <row r="103">
          <cell r="A103" t="str">
            <v>0214</v>
          </cell>
          <cell r="B103" t="str">
            <v>ESPECIALES</v>
          </cell>
          <cell r="C103" t="str">
            <v>GALLETA DE CHICHARRON X 1/4</v>
          </cell>
          <cell r="D103">
            <v>3900</v>
          </cell>
          <cell r="E103">
            <v>1700</v>
          </cell>
          <cell r="F103">
            <v>1390</v>
          </cell>
          <cell r="G103">
            <v>1450</v>
          </cell>
          <cell r="H103">
            <v>1530</v>
          </cell>
          <cell r="I103">
            <v>1620</v>
          </cell>
          <cell r="L103" t="str">
            <v/>
          </cell>
          <cell r="N103">
            <v>252.810495</v>
          </cell>
        </row>
        <row r="104">
          <cell r="A104" t="str">
            <v>0226</v>
          </cell>
          <cell r="B104" t="str">
            <v>ESPECIALES</v>
          </cell>
          <cell r="C104" t="str">
            <v>GALLETA DE GRASA CON CHICHARRON</v>
          </cell>
          <cell r="D104">
            <v>15500</v>
          </cell>
          <cell r="E104">
            <v>5500</v>
          </cell>
          <cell r="F104">
            <v>4510</v>
          </cell>
          <cell r="G104">
            <v>4680</v>
          </cell>
          <cell r="H104">
            <v>4950</v>
          </cell>
          <cell r="I104">
            <v>5230</v>
          </cell>
          <cell r="L104" t="str">
            <v/>
          </cell>
          <cell r="N104">
            <v>1011.24198</v>
          </cell>
        </row>
        <row r="105">
          <cell r="A105" t="str">
            <v>0212</v>
          </cell>
          <cell r="B105" t="str">
            <v>ESPECIALES</v>
          </cell>
          <cell r="C105" t="str">
            <v>FOCACCIA X UN</v>
          </cell>
          <cell r="D105">
            <v>9700</v>
          </cell>
          <cell r="E105">
            <v>5700</v>
          </cell>
          <cell r="F105">
            <v>4670</v>
          </cell>
          <cell r="G105">
            <v>4850</v>
          </cell>
          <cell r="H105">
            <v>5130</v>
          </cell>
          <cell r="I105">
            <v>5420</v>
          </cell>
          <cell r="L105" t="str">
            <v/>
          </cell>
          <cell r="N105">
            <v>1651.8170666666667</v>
          </cell>
        </row>
        <row r="106">
          <cell r="A106" t="str">
            <v>0215</v>
          </cell>
          <cell r="B106" t="str">
            <v>ESPECIALES</v>
          </cell>
          <cell r="C106" t="str">
            <v>TALITAS KG</v>
          </cell>
          <cell r="D106">
            <v>23200</v>
          </cell>
          <cell r="E106">
            <v>10000</v>
          </cell>
          <cell r="F106">
            <v>8200</v>
          </cell>
          <cell r="G106">
            <v>8500</v>
          </cell>
          <cell r="H106">
            <v>9000</v>
          </cell>
          <cell r="I106">
            <v>9500</v>
          </cell>
          <cell r="L106" t="str">
            <v/>
          </cell>
          <cell r="N106">
            <v>3197.1047500000004</v>
          </cell>
        </row>
        <row r="107">
          <cell r="A107" t="str">
            <v>0216</v>
          </cell>
          <cell r="B107" t="str">
            <v>ESPECIALES</v>
          </cell>
          <cell r="C107" t="str">
            <v>MARINERAS / MEXICANITOS/GRISINES X 1/4</v>
          </cell>
          <cell r="D107">
            <v>5700</v>
          </cell>
          <cell r="E107">
            <v>4300</v>
          </cell>
          <cell r="F107">
            <v>3530</v>
          </cell>
          <cell r="G107">
            <v>3660</v>
          </cell>
          <cell r="H107">
            <v>3870</v>
          </cell>
          <cell r="I107">
            <v>4090</v>
          </cell>
          <cell r="L107" t="str">
            <v/>
          </cell>
          <cell r="N107">
            <v>799.27618750000011</v>
          </cell>
        </row>
        <row r="108">
          <cell r="A108" t="str">
            <v>0231</v>
          </cell>
          <cell r="B108" t="str">
            <v>ESPECIALES</v>
          </cell>
          <cell r="C108" t="str">
            <v>GRISINES KG</v>
          </cell>
          <cell r="D108">
            <v>23200</v>
          </cell>
          <cell r="E108">
            <v>7200</v>
          </cell>
          <cell r="F108">
            <v>5900</v>
          </cell>
          <cell r="G108">
            <v>6120</v>
          </cell>
          <cell r="H108">
            <v>6480</v>
          </cell>
          <cell r="I108">
            <v>6840</v>
          </cell>
          <cell r="L108" t="str">
            <v/>
          </cell>
          <cell r="N108">
            <v>990.05079999999998</v>
          </cell>
        </row>
        <row r="109">
          <cell r="A109" t="str">
            <v>0232</v>
          </cell>
          <cell r="B109" t="str">
            <v>ESPECIALES</v>
          </cell>
          <cell r="C109" t="str">
            <v>MEXICANITOS KG</v>
          </cell>
          <cell r="D109">
            <v>23200</v>
          </cell>
          <cell r="E109">
            <v>7200</v>
          </cell>
          <cell r="F109">
            <v>5900</v>
          </cell>
          <cell r="G109">
            <v>6120</v>
          </cell>
          <cell r="H109">
            <v>6480</v>
          </cell>
          <cell r="I109">
            <v>6840</v>
          </cell>
          <cell r="L109" t="str">
            <v/>
          </cell>
          <cell r="N109">
            <v>0</v>
          </cell>
        </row>
        <row r="110">
          <cell r="A110" t="str">
            <v>0218</v>
          </cell>
          <cell r="B110" t="str">
            <v>ESPECIALES</v>
          </cell>
          <cell r="C110" t="str">
            <v>TORTA FRITA X UNIDAD</v>
          </cell>
          <cell r="D110">
            <v>1000</v>
          </cell>
          <cell r="E110">
            <v>500</v>
          </cell>
          <cell r="F110">
            <v>410</v>
          </cell>
          <cell r="G110">
            <v>430</v>
          </cell>
          <cell r="H110">
            <v>450</v>
          </cell>
          <cell r="I110">
            <v>480</v>
          </cell>
          <cell r="L110" t="str">
            <v/>
          </cell>
          <cell r="N110">
            <v>40.065674999999999</v>
          </cell>
        </row>
        <row r="111">
          <cell r="A111" t="str">
            <v>0219</v>
          </cell>
          <cell r="B111" t="str">
            <v>ESPECIALES</v>
          </cell>
          <cell r="C111" t="str">
            <v>TORTA FRITA X 2</v>
          </cell>
          <cell r="D111">
            <v>1500</v>
          </cell>
          <cell r="E111">
            <v>700</v>
          </cell>
          <cell r="F111">
            <v>570</v>
          </cell>
          <cell r="G111">
            <v>600</v>
          </cell>
          <cell r="H111">
            <v>630</v>
          </cell>
          <cell r="I111">
            <v>670</v>
          </cell>
          <cell r="L111" t="str">
            <v/>
          </cell>
          <cell r="N111">
            <v>80.131349999999998</v>
          </cell>
        </row>
        <row r="112">
          <cell r="A112" t="str">
            <v>0220</v>
          </cell>
          <cell r="B112" t="str">
            <v>ESPECIALES</v>
          </cell>
          <cell r="C112" t="str">
            <v>TORTA FRITA X 6</v>
          </cell>
          <cell r="D112">
            <v>4000</v>
          </cell>
          <cell r="E112">
            <v>1700</v>
          </cell>
          <cell r="F112">
            <v>1390</v>
          </cell>
          <cell r="G112">
            <v>1450</v>
          </cell>
          <cell r="H112">
            <v>1530</v>
          </cell>
          <cell r="I112">
            <v>1620</v>
          </cell>
          <cell r="L112" t="str">
            <v/>
          </cell>
          <cell r="N112">
            <v>240.39404999999999</v>
          </cell>
        </row>
        <row r="113">
          <cell r="A113" t="str">
            <v>0221</v>
          </cell>
          <cell r="B113" t="str">
            <v>ESPECIALES</v>
          </cell>
          <cell r="C113" t="str">
            <v>TORTA FRITA X 12</v>
          </cell>
          <cell r="D113">
            <v>8000</v>
          </cell>
          <cell r="E113">
            <v>3400</v>
          </cell>
          <cell r="F113">
            <v>2790</v>
          </cell>
          <cell r="G113">
            <v>2890</v>
          </cell>
          <cell r="H113">
            <v>3060</v>
          </cell>
          <cell r="I113">
            <v>3230</v>
          </cell>
          <cell r="L113" t="str">
            <v/>
          </cell>
          <cell r="N113">
            <v>480.78809999999999</v>
          </cell>
        </row>
        <row r="114">
          <cell r="A114" t="str">
            <v>0224</v>
          </cell>
          <cell r="B114" t="str">
            <v>ESPECIALES</v>
          </cell>
          <cell r="C114" t="str">
            <v>TRENSAS X UN</v>
          </cell>
          <cell r="D114">
            <v>7700</v>
          </cell>
          <cell r="E114">
            <v>5500</v>
          </cell>
          <cell r="F114">
            <v>4510</v>
          </cell>
          <cell r="G114">
            <v>4680</v>
          </cell>
          <cell r="H114">
            <v>4950</v>
          </cell>
          <cell r="I114">
            <v>5230</v>
          </cell>
          <cell r="L114" t="str">
            <v/>
          </cell>
          <cell r="N114">
            <v>506.75131249999998</v>
          </cell>
        </row>
        <row r="115">
          <cell r="A115" t="str">
            <v>0227</v>
          </cell>
          <cell r="B115" t="str">
            <v>ESPECIALES</v>
          </cell>
          <cell r="C115" t="str">
            <v>PAN DE LECHE X UNIDAD</v>
          </cell>
          <cell r="D115">
            <v>8000</v>
          </cell>
          <cell r="E115">
            <v>6300</v>
          </cell>
          <cell r="F115">
            <v>5170</v>
          </cell>
          <cell r="G115">
            <v>5360</v>
          </cell>
          <cell r="H115">
            <v>5670</v>
          </cell>
          <cell r="I115">
            <v>5990</v>
          </cell>
          <cell r="L115" t="str">
            <v/>
          </cell>
          <cell r="N115">
            <v>612.68264999999997</v>
          </cell>
        </row>
        <row r="116">
          <cell r="A116" t="str">
            <v>0233</v>
          </cell>
          <cell r="B116" t="str">
            <v>ESPECIALES</v>
          </cell>
          <cell r="C116" t="str">
            <v>GRISINES/TALITAS/MEXICANITOS</v>
          </cell>
          <cell r="D116">
            <v>23200</v>
          </cell>
          <cell r="E116">
            <v>7200</v>
          </cell>
          <cell r="F116">
            <v>5900</v>
          </cell>
          <cell r="G116">
            <v>6120</v>
          </cell>
          <cell r="H116">
            <v>6480</v>
          </cell>
          <cell r="I116">
            <v>6840</v>
          </cell>
          <cell r="L116" t="str">
            <v/>
          </cell>
          <cell r="N116">
            <v>0</v>
          </cell>
        </row>
        <row r="117">
          <cell r="A117" t="str">
            <v>0235</v>
          </cell>
          <cell r="B117" t="str">
            <v>ESPECIALES</v>
          </cell>
          <cell r="C117" t="str">
            <v>PAN BAGUETIN VIENA (PRECOCIDO)</v>
          </cell>
          <cell r="D117">
            <v>0</v>
          </cell>
          <cell r="E117">
            <v>2800</v>
          </cell>
          <cell r="F117">
            <v>2300</v>
          </cell>
          <cell r="G117">
            <v>2380</v>
          </cell>
          <cell r="H117">
            <v>2520</v>
          </cell>
          <cell r="I117">
            <v>2660</v>
          </cell>
          <cell r="L117" t="str">
            <v/>
          </cell>
          <cell r="N117" t="str">
            <v/>
          </cell>
        </row>
        <row r="118">
          <cell r="C118" t="str">
            <v>CREMONAS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L118" t="str">
            <v/>
          </cell>
          <cell r="N118" t="str">
            <v/>
          </cell>
        </row>
        <row r="119">
          <cell r="A119" t="str">
            <v>0301</v>
          </cell>
          <cell r="B119" t="str">
            <v>CREMONAS</v>
          </cell>
          <cell r="C119" t="str">
            <v>CREMONA CHICA X UNIDAD</v>
          </cell>
          <cell r="D119">
            <v>700</v>
          </cell>
          <cell r="E119">
            <v>400</v>
          </cell>
          <cell r="F119">
            <v>330</v>
          </cell>
          <cell r="G119">
            <v>340</v>
          </cell>
          <cell r="H119">
            <v>360</v>
          </cell>
          <cell r="I119">
            <v>380</v>
          </cell>
          <cell r="L119" t="str">
            <v/>
          </cell>
          <cell r="N119">
            <v>124.48455619047618</v>
          </cell>
        </row>
        <row r="120">
          <cell r="A120" t="str">
            <v>0304</v>
          </cell>
          <cell r="B120" t="str">
            <v>CREMONAS</v>
          </cell>
          <cell r="C120" t="str">
            <v>CREMONA SOLA</v>
          </cell>
          <cell r="D120">
            <v>3400</v>
          </cell>
          <cell r="E120">
            <v>2400</v>
          </cell>
          <cell r="F120">
            <v>1970</v>
          </cell>
          <cell r="G120">
            <v>2040</v>
          </cell>
          <cell r="H120">
            <v>2160</v>
          </cell>
          <cell r="I120">
            <v>2280</v>
          </cell>
          <cell r="L120" t="str">
            <v/>
          </cell>
          <cell r="N120">
            <v>905.23702666666657</v>
          </cell>
        </row>
        <row r="121">
          <cell r="A121" t="str">
            <v>0305</v>
          </cell>
          <cell r="B121" t="str">
            <v>CREMONAS</v>
          </cell>
          <cell r="C121" t="str">
            <v>CREMONA DULCE</v>
          </cell>
          <cell r="D121">
            <v>4700</v>
          </cell>
          <cell r="E121">
            <v>2400</v>
          </cell>
          <cell r="F121">
            <v>1970</v>
          </cell>
          <cell r="G121">
            <v>2040</v>
          </cell>
          <cell r="H121">
            <v>2160</v>
          </cell>
          <cell r="I121">
            <v>2280</v>
          </cell>
          <cell r="L121" t="str">
            <v/>
          </cell>
          <cell r="N121">
            <v>946.97902666666653</v>
          </cell>
        </row>
        <row r="122">
          <cell r="A122" t="str">
            <v>0306</v>
          </cell>
          <cell r="B122" t="str">
            <v>CREMONAS</v>
          </cell>
          <cell r="C122" t="str">
            <v>CREMONA CHICHA</v>
          </cell>
          <cell r="D122">
            <v>4700</v>
          </cell>
          <cell r="E122">
            <v>2400</v>
          </cell>
          <cell r="F122">
            <v>1970</v>
          </cell>
          <cell r="G122">
            <v>2040</v>
          </cell>
          <cell r="H122">
            <v>2160</v>
          </cell>
          <cell r="I122">
            <v>2280</v>
          </cell>
          <cell r="L122" t="str">
            <v/>
          </cell>
          <cell r="N122">
            <v>1065.2370266666667</v>
          </cell>
        </row>
        <row r="123">
          <cell r="A123" t="str">
            <v>0307</v>
          </cell>
          <cell r="B123" t="str">
            <v>CREMONAS</v>
          </cell>
          <cell r="C123" t="str">
            <v>CREMONA DE JAMON Y QUESO</v>
          </cell>
          <cell r="D123">
            <v>5000</v>
          </cell>
          <cell r="E123">
            <v>4000</v>
          </cell>
          <cell r="F123">
            <v>3280</v>
          </cell>
          <cell r="G123">
            <v>3400</v>
          </cell>
          <cell r="H123">
            <v>3600</v>
          </cell>
          <cell r="I123">
            <v>3800</v>
          </cell>
          <cell r="L123" t="str">
            <v/>
          </cell>
          <cell r="N123">
            <v>1068.6976933333333</v>
          </cell>
        </row>
        <row r="124">
          <cell r="A124" t="str">
            <v>0308</v>
          </cell>
          <cell r="B124" t="str">
            <v>CREMONAS</v>
          </cell>
          <cell r="C124" t="str">
            <v>CREMONA CHICA C / CHICHARRON</v>
          </cell>
          <cell r="D124">
            <v>1100</v>
          </cell>
          <cell r="E124">
            <v>400</v>
          </cell>
          <cell r="F124">
            <v>330</v>
          </cell>
          <cell r="G124">
            <v>340</v>
          </cell>
          <cell r="H124">
            <v>360</v>
          </cell>
          <cell r="I124">
            <v>380</v>
          </cell>
          <cell r="L124" t="str">
            <v/>
          </cell>
          <cell r="N124" t="str">
            <v/>
          </cell>
        </row>
        <row r="125">
          <cell r="C125" t="str">
            <v>PREPIZZA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L125" t="str">
            <v/>
          </cell>
          <cell r="N125" t="str">
            <v/>
          </cell>
        </row>
        <row r="126">
          <cell r="A126" t="str">
            <v>0401</v>
          </cell>
          <cell r="B126" t="str">
            <v>PREPIZZA</v>
          </cell>
          <cell r="C126" t="str">
            <v>PREPIZZA TOMATE</v>
          </cell>
          <cell r="D126">
            <v>2100</v>
          </cell>
          <cell r="E126">
            <v>1200</v>
          </cell>
          <cell r="F126">
            <v>980</v>
          </cell>
          <cell r="G126">
            <v>1020</v>
          </cell>
          <cell r="H126">
            <v>1080</v>
          </cell>
          <cell r="I126">
            <v>1140</v>
          </cell>
          <cell r="L126" t="str">
            <v/>
          </cell>
          <cell r="N126">
            <v>349.74575999999996</v>
          </cell>
        </row>
        <row r="127">
          <cell r="A127" t="str">
            <v>0402</v>
          </cell>
          <cell r="B127" t="str">
            <v>PREPIZZA</v>
          </cell>
          <cell r="C127" t="str">
            <v>PREPIZZA TOMATE X2</v>
          </cell>
          <cell r="D127">
            <v>3600</v>
          </cell>
          <cell r="E127">
            <v>1500</v>
          </cell>
          <cell r="F127">
            <v>1230</v>
          </cell>
          <cell r="G127">
            <v>1280</v>
          </cell>
          <cell r="H127">
            <v>1350</v>
          </cell>
          <cell r="I127">
            <v>1430</v>
          </cell>
          <cell r="L127" t="str">
            <v/>
          </cell>
          <cell r="N127">
            <v>699.49151999999992</v>
          </cell>
        </row>
        <row r="128">
          <cell r="A128" t="str">
            <v>0403</v>
          </cell>
          <cell r="B128" t="str">
            <v>PREPIZZA</v>
          </cell>
          <cell r="C128" t="str">
            <v xml:space="preserve">PREPIZZA CEBOLLA </v>
          </cell>
          <cell r="D128">
            <v>2100</v>
          </cell>
          <cell r="E128">
            <v>1300</v>
          </cell>
          <cell r="F128">
            <v>1070</v>
          </cell>
          <cell r="G128">
            <v>1110</v>
          </cell>
          <cell r="H128">
            <v>1170</v>
          </cell>
          <cell r="I128">
            <v>1240</v>
          </cell>
          <cell r="L128" t="str">
            <v/>
          </cell>
          <cell r="N128">
            <v>408.57423157894732</v>
          </cell>
        </row>
        <row r="129">
          <cell r="A129" t="str">
            <v>0404</v>
          </cell>
          <cell r="B129" t="str">
            <v>PREPIZZA</v>
          </cell>
          <cell r="C129" t="str">
            <v>PREPIZZA CEBOLLA X2</v>
          </cell>
          <cell r="D129">
            <v>3900</v>
          </cell>
          <cell r="E129">
            <v>1700</v>
          </cell>
          <cell r="F129">
            <v>1390</v>
          </cell>
          <cell r="G129">
            <v>1450</v>
          </cell>
          <cell r="H129">
            <v>1530</v>
          </cell>
          <cell r="I129">
            <v>1620</v>
          </cell>
          <cell r="L129" t="str">
            <v/>
          </cell>
          <cell r="N129">
            <v>817.14846315789464</v>
          </cell>
        </row>
        <row r="130">
          <cell r="A130" t="str">
            <v>0405</v>
          </cell>
          <cell r="B130" t="str">
            <v>PREPIZZA</v>
          </cell>
          <cell r="C130" t="str">
            <v>PREPIZZA INDIVIDUAL</v>
          </cell>
          <cell r="D130">
            <v>1100</v>
          </cell>
          <cell r="E130">
            <v>900</v>
          </cell>
          <cell r="F130">
            <v>740</v>
          </cell>
          <cell r="G130">
            <v>770</v>
          </cell>
          <cell r="H130">
            <v>810</v>
          </cell>
          <cell r="I130">
            <v>860</v>
          </cell>
          <cell r="L130" t="str">
            <v/>
          </cell>
          <cell r="N130">
            <v>174.37149333333335</v>
          </cell>
        </row>
        <row r="131">
          <cell r="A131" t="str">
            <v>0406</v>
          </cell>
          <cell r="B131" t="str">
            <v>PREPIZZA</v>
          </cell>
          <cell r="C131" t="str">
            <v>PREPIZZA INDIVIDUAL X2</v>
          </cell>
          <cell r="D131">
            <v>1900</v>
          </cell>
          <cell r="E131">
            <v>1400</v>
          </cell>
          <cell r="F131">
            <v>1150</v>
          </cell>
          <cell r="G131">
            <v>1190</v>
          </cell>
          <cell r="H131">
            <v>1260</v>
          </cell>
          <cell r="I131">
            <v>1330</v>
          </cell>
          <cell r="L131" t="str">
            <v/>
          </cell>
          <cell r="N131">
            <v>348.7429866666667</v>
          </cell>
        </row>
        <row r="132">
          <cell r="A132" t="str">
            <v>0408</v>
          </cell>
          <cell r="B132" t="str">
            <v>PREPIZZA</v>
          </cell>
          <cell r="C132" t="str">
            <v>PIZZETA X 12 UNID.</v>
          </cell>
          <cell r="D132">
            <v>3200</v>
          </cell>
          <cell r="E132">
            <v>1900</v>
          </cell>
          <cell r="F132">
            <v>1560</v>
          </cell>
          <cell r="G132">
            <v>1620</v>
          </cell>
          <cell r="H132">
            <v>1710</v>
          </cell>
          <cell r="I132">
            <v>1810</v>
          </cell>
          <cell r="L132" t="str">
            <v/>
          </cell>
          <cell r="N132">
            <v>537.18919999999991</v>
          </cell>
        </row>
        <row r="133">
          <cell r="A133" t="str">
            <v>0409</v>
          </cell>
          <cell r="B133" t="str">
            <v>PREPIZZA</v>
          </cell>
          <cell r="C133" t="str">
            <v>PREPIZZA MIXTA</v>
          </cell>
          <cell r="D133">
            <v>2100</v>
          </cell>
          <cell r="E133">
            <v>1300</v>
          </cell>
          <cell r="F133">
            <v>1070</v>
          </cell>
          <cell r="G133">
            <v>1110</v>
          </cell>
          <cell r="H133">
            <v>1170</v>
          </cell>
          <cell r="I133">
            <v>1240</v>
          </cell>
          <cell r="L133" t="str">
            <v/>
          </cell>
          <cell r="N133">
            <v>379.15999578947367</v>
          </cell>
        </row>
        <row r="134">
          <cell r="A134" t="str">
            <v>0410</v>
          </cell>
          <cell r="B134" t="str">
            <v>PREPIZZA</v>
          </cell>
          <cell r="C134" t="str">
            <v>PREPIZZA MIXTA X 2</v>
          </cell>
          <cell r="D134">
            <v>3500</v>
          </cell>
          <cell r="E134">
            <v>1700</v>
          </cell>
          <cell r="F134">
            <v>1390</v>
          </cell>
          <cell r="G134">
            <v>1450</v>
          </cell>
          <cell r="H134">
            <v>1530</v>
          </cell>
          <cell r="I134">
            <v>1620</v>
          </cell>
          <cell r="L134" t="str">
            <v/>
          </cell>
          <cell r="N134">
            <v>758.31999157894734</v>
          </cell>
        </row>
        <row r="135">
          <cell r="A135" t="str">
            <v>0411</v>
          </cell>
          <cell r="B135" t="str">
            <v>PREPIZZA</v>
          </cell>
          <cell r="C135" t="str">
            <v>PLANCHA DE PIZZA</v>
          </cell>
          <cell r="D135">
            <v>5700</v>
          </cell>
          <cell r="E135">
            <v>3400</v>
          </cell>
          <cell r="F135">
            <v>2790</v>
          </cell>
          <cell r="G135">
            <v>2890</v>
          </cell>
          <cell r="H135">
            <v>3060</v>
          </cell>
          <cell r="I135">
            <v>3230</v>
          </cell>
          <cell r="L135" t="str">
            <v/>
          </cell>
          <cell r="N135">
            <v>702.57028571428566</v>
          </cell>
        </row>
        <row r="136">
          <cell r="A136" t="str">
            <v>0412</v>
          </cell>
          <cell r="B136" t="str">
            <v>PREPIZZA</v>
          </cell>
          <cell r="C136" t="str">
            <v>PIZZA OVALADAS</v>
          </cell>
          <cell r="D136">
            <v>0</v>
          </cell>
          <cell r="E136">
            <v>900</v>
          </cell>
          <cell r="F136">
            <v>740</v>
          </cell>
          <cell r="G136">
            <v>770</v>
          </cell>
          <cell r="H136">
            <v>810</v>
          </cell>
          <cell r="I136">
            <v>860</v>
          </cell>
          <cell r="L136" t="str">
            <v/>
          </cell>
          <cell r="N136" t="str">
            <v/>
          </cell>
        </row>
        <row r="137">
          <cell r="C137" t="str">
            <v>FACTURAS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L137" t="str">
            <v/>
          </cell>
          <cell r="N137" t="str">
            <v/>
          </cell>
        </row>
        <row r="138">
          <cell r="A138" t="str">
            <v>0501</v>
          </cell>
          <cell r="B138" t="str">
            <v>FACTURAS</v>
          </cell>
          <cell r="C138" t="str">
            <v>SACRAMENTOS</v>
          </cell>
          <cell r="D138">
            <v>13000</v>
          </cell>
          <cell r="E138">
            <v>6300</v>
          </cell>
          <cell r="F138">
            <v>5170</v>
          </cell>
          <cell r="G138">
            <v>5360</v>
          </cell>
          <cell r="H138">
            <v>5670</v>
          </cell>
          <cell r="I138">
            <v>5990</v>
          </cell>
          <cell r="L138" t="str">
            <v/>
          </cell>
          <cell r="N138">
            <v>2214.4689743589743</v>
          </cell>
        </row>
        <row r="139">
          <cell r="A139" t="str">
            <v>0502</v>
          </cell>
          <cell r="B139" t="str">
            <v>FACTURAS</v>
          </cell>
          <cell r="C139" t="str">
            <v>FACTURAS DOCENA</v>
          </cell>
          <cell r="D139">
            <v>13000</v>
          </cell>
          <cell r="E139">
            <v>6300</v>
          </cell>
          <cell r="F139">
            <v>5170</v>
          </cell>
          <cell r="G139">
            <v>5360</v>
          </cell>
          <cell r="H139">
            <v>5670</v>
          </cell>
          <cell r="I139">
            <v>5990</v>
          </cell>
          <cell r="L139" t="str">
            <v/>
          </cell>
          <cell r="N139">
            <v>0</v>
          </cell>
        </row>
        <row r="140">
          <cell r="A140" t="str">
            <v>0503</v>
          </cell>
          <cell r="B140" t="str">
            <v>FACTURAS</v>
          </cell>
          <cell r="C140" t="str">
            <v>MEDIALUNAS MANT</v>
          </cell>
          <cell r="D140">
            <v>13000</v>
          </cell>
          <cell r="E140">
            <v>6300</v>
          </cell>
          <cell r="F140">
            <v>5170</v>
          </cell>
          <cell r="G140">
            <v>5360</v>
          </cell>
          <cell r="H140">
            <v>5670</v>
          </cell>
          <cell r="I140">
            <v>5990</v>
          </cell>
          <cell r="L140">
            <v>6300</v>
          </cell>
          <cell r="M140">
            <v>1</v>
          </cell>
          <cell r="N140">
            <v>0</v>
          </cell>
        </row>
        <row r="141">
          <cell r="A141" t="str">
            <v>0504</v>
          </cell>
          <cell r="B141" t="str">
            <v>FACTURAS</v>
          </cell>
          <cell r="C141" t="str">
            <v>FACTURAS X 1</v>
          </cell>
          <cell r="D141">
            <v>1100</v>
          </cell>
          <cell r="L141" t="str">
            <v/>
          </cell>
          <cell r="N141">
            <v>0</v>
          </cell>
        </row>
        <row r="142">
          <cell r="A142" t="str">
            <v>0505</v>
          </cell>
          <cell r="B142" t="str">
            <v>FACTURAS</v>
          </cell>
          <cell r="C142" t="str">
            <v>FACTURAS X 2</v>
          </cell>
          <cell r="D142">
            <v>2200</v>
          </cell>
          <cell r="L142" t="str">
            <v/>
          </cell>
          <cell r="N142">
            <v>0</v>
          </cell>
        </row>
        <row r="143">
          <cell r="A143" t="str">
            <v>0506</v>
          </cell>
          <cell r="B143" t="str">
            <v>FACTURAS</v>
          </cell>
          <cell r="C143" t="str">
            <v>FACTURAS X 3</v>
          </cell>
          <cell r="D143">
            <v>3300</v>
          </cell>
          <cell r="L143" t="str">
            <v/>
          </cell>
          <cell r="N143">
            <v>0</v>
          </cell>
        </row>
        <row r="144">
          <cell r="A144" t="str">
            <v>0507</v>
          </cell>
          <cell r="B144" t="str">
            <v>FACTURAS</v>
          </cell>
          <cell r="C144" t="str">
            <v>FACTURAS X 4</v>
          </cell>
          <cell r="D144">
            <v>4400</v>
          </cell>
          <cell r="L144" t="str">
            <v/>
          </cell>
          <cell r="N144">
            <v>0</v>
          </cell>
        </row>
        <row r="145">
          <cell r="A145" t="str">
            <v>0508</v>
          </cell>
          <cell r="B145" t="str">
            <v>FACTURAS</v>
          </cell>
          <cell r="C145" t="str">
            <v>FACTURAS X 5</v>
          </cell>
          <cell r="D145">
            <v>5500</v>
          </cell>
          <cell r="L145" t="str">
            <v/>
          </cell>
          <cell r="N145">
            <v>0</v>
          </cell>
        </row>
        <row r="146">
          <cell r="A146" t="str">
            <v>0509</v>
          </cell>
          <cell r="B146" t="str">
            <v>FACTURAS</v>
          </cell>
          <cell r="C146" t="str">
            <v>FACTURAS X 6</v>
          </cell>
          <cell r="D146">
            <v>6500</v>
          </cell>
          <cell r="L146" t="str">
            <v/>
          </cell>
          <cell r="N146">
            <v>0</v>
          </cell>
        </row>
        <row r="147">
          <cell r="A147" t="str">
            <v>0510</v>
          </cell>
          <cell r="B147" t="str">
            <v>FACTURAS</v>
          </cell>
          <cell r="C147" t="str">
            <v>FACTURAS X 7</v>
          </cell>
          <cell r="D147">
            <v>7600</v>
          </cell>
          <cell r="L147" t="str">
            <v/>
          </cell>
          <cell r="N147">
            <v>0</v>
          </cell>
        </row>
        <row r="148">
          <cell r="A148" t="str">
            <v>0511</v>
          </cell>
          <cell r="B148" t="str">
            <v>FACTURAS</v>
          </cell>
          <cell r="C148" t="str">
            <v>FACTURAS X 8</v>
          </cell>
          <cell r="D148">
            <v>8700</v>
          </cell>
          <cell r="L148" t="str">
            <v/>
          </cell>
          <cell r="N148">
            <v>0</v>
          </cell>
        </row>
        <row r="149">
          <cell r="A149" t="str">
            <v>0512</v>
          </cell>
          <cell r="B149" t="str">
            <v>FACTURAS</v>
          </cell>
          <cell r="C149" t="str">
            <v>FACTURAS X 9</v>
          </cell>
          <cell r="D149">
            <v>9800</v>
          </cell>
          <cell r="L149" t="str">
            <v/>
          </cell>
          <cell r="N149">
            <v>0</v>
          </cell>
        </row>
        <row r="150">
          <cell r="A150" t="str">
            <v>0513</v>
          </cell>
          <cell r="B150" t="str">
            <v>FACTURAS</v>
          </cell>
          <cell r="C150" t="str">
            <v>FACTURAS X 10</v>
          </cell>
          <cell r="D150">
            <v>10900</v>
          </cell>
          <cell r="L150" t="str">
            <v/>
          </cell>
          <cell r="N150">
            <v>0</v>
          </cell>
        </row>
        <row r="151">
          <cell r="A151" t="str">
            <v>0514</v>
          </cell>
          <cell r="B151" t="str">
            <v>FACTURAS</v>
          </cell>
          <cell r="C151" t="str">
            <v>FACTURAS X 11</v>
          </cell>
          <cell r="D151">
            <v>12000</v>
          </cell>
          <cell r="L151" t="str">
            <v/>
          </cell>
          <cell r="N151">
            <v>0</v>
          </cell>
        </row>
        <row r="152">
          <cell r="A152" t="str">
            <v>0515</v>
          </cell>
          <cell r="B152" t="str">
            <v>CONGELADOS</v>
          </cell>
          <cell r="C152" t="str">
            <v>MED CONGLADAS X 12</v>
          </cell>
          <cell r="D152">
            <v>13000</v>
          </cell>
          <cell r="L152" t="str">
            <v/>
          </cell>
          <cell r="N152">
            <v>157.5</v>
          </cell>
        </row>
        <row r="153">
          <cell r="A153" t="str">
            <v>0517</v>
          </cell>
          <cell r="B153" t="str">
            <v>CONGELADOS</v>
          </cell>
          <cell r="C153" t="str">
            <v>MED CONGLADAS X LATA (3DOCENAS)</v>
          </cell>
          <cell r="D153">
            <v>0</v>
          </cell>
          <cell r="E153">
            <v>20800</v>
          </cell>
          <cell r="F153">
            <v>17060</v>
          </cell>
          <cell r="G153">
            <v>17680</v>
          </cell>
          <cell r="H153">
            <v>18720</v>
          </cell>
          <cell r="I153">
            <v>19760</v>
          </cell>
          <cell r="L153" t="str">
            <v/>
          </cell>
          <cell r="N153">
            <v>551.25</v>
          </cell>
        </row>
        <row r="154">
          <cell r="A154" t="str">
            <v>0518</v>
          </cell>
          <cell r="B154" t="str">
            <v>CONGELADOS</v>
          </cell>
          <cell r="C154" t="str">
            <v>MED DE GRASA CONGELADAS X LATA (28 UNIDADES)</v>
          </cell>
          <cell r="D154">
            <v>0</v>
          </cell>
          <cell r="E154">
            <v>13900</v>
          </cell>
          <cell r="F154">
            <v>11400</v>
          </cell>
          <cell r="G154">
            <v>11820</v>
          </cell>
          <cell r="H154">
            <v>12510</v>
          </cell>
          <cell r="I154">
            <v>13210</v>
          </cell>
          <cell r="L154" t="str">
            <v/>
          </cell>
          <cell r="N154" t="str">
            <v/>
          </cell>
        </row>
        <row r="155">
          <cell r="A155" t="str">
            <v>0519</v>
          </cell>
          <cell r="B155" t="str">
            <v>FACTURAS</v>
          </cell>
          <cell r="C155" t="str">
            <v>BOLAS DE FRAILE x DOC</v>
          </cell>
          <cell r="D155">
            <v>13500</v>
          </cell>
          <cell r="E155">
            <v>6800</v>
          </cell>
          <cell r="F155">
            <v>5580</v>
          </cell>
          <cell r="G155">
            <v>5780</v>
          </cell>
          <cell r="H155">
            <v>6120</v>
          </cell>
          <cell r="I155">
            <v>6460</v>
          </cell>
          <cell r="L155" t="str">
            <v/>
          </cell>
          <cell r="N155">
            <v>878.63666550925927</v>
          </cell>
        </row>
        <row r="156">
          <cell r="A156" t="str">
            <v>0520</v>
          </cell>
          <cell r="B156" t="str">
            <v>FACTURAS</v>
          </cell>
          <cell r="C156" t="str">
            <v>DONAS X DOC</v>
          </cell>
          <cell r="D156">
            <v>13500</v>
          </cell>
          <cell r="E156">
            <v>6800</v>
          </cell>
          <cell r="F156">
            <v>5580</v>
          </cell>
          <cell r="G156">
            <v>5780</v>
          </cell>
          <cell r="H156">
            <v>6120</v>
          </cell>
          <cell r="I156">
            <v>6460</v>
          </cell>
          <cell r="L156" t="str">
            <v/>
          </cell>
          <cell r="N156">
            <v>1362.522207175926</v>
          </cell>
        </row>
        <row r="157">
          <cell r="A157" t="str">
            <v>0521</v>
          </cell>
          <cell r="B157" t="str">
            <v>FACTURAS</v>
          </cell>
          <cell r="C157" t="str">
            <v>FACTURAS VIENESAS</v>
          </cell>
          <cell r="D157">
            <v>2100</v>
          </cell>
          <cell r="E157">
            <v>1400</v>
          </cell>
          <cell r="F157">
            <v>1150</v>
          </cell>
          <cell r="G157">
            <v>1190</v>
          </cell>
          <cell r="H157">
            <v>1260</v>
          </cell>
          <cell r="I157">
            <v>1330</v>
          </cell>
          <cell r="L157" t="str">
            <v/>
          </cell>
          <cell r="N157">
            <v>229.46635884954978</v>
          </cell>
        </row>
        <row r="158">
          <cell r="A158" t="str">
            <v>0522</v>
          </cell>
          <cell r="B158" t="str">
            <v>FACTURAS</v>
          </cell>
          <cell r="C158" t="str">
            <v>BOLAS DE FRAILE X UNIDAD</v>
          </cell>
          <cell r="D158">
            <v>0</v>
          </cell>
          <cell r="E158">
            <v>300</v>
          </cell>
          <cell r="F158">
            <v>250</v>
          </cell>
          <cell r="G158">
            <v>260</v>
          </cell>
          <cell r="H158">
            <v>270</v>
          </cell>
          <cell r="I158">
            <v>290</v>
          </cell>
          <cell r="L158" t="str">
            <v/>
          </cell>
          <cell r="N158" t="str">
            <v/>
          </cell>
        </row>
        <row r="159">
          <cell r="A159" t="str">
            <v>0523</v>
          </cell>
          <cell r="B159" t="str">
            <v>FACTURAS</v>
          </cell>
          <cell r="C159" t="str">
            <v>DONAS X UNIDAD</v>
          </cell>
          <cell r="D159">
            <v>0</v>
          </cell>
          <cell r="E159">
            <v>300</v>
          </cell>
          <cell r="F159">
            <v>250</v>
          </cell>
          <cell r="G159">
            <v>260</v>
          </cell>
          <cell r="H159">
            <v>270</v>
          </cell>
          <cell r="I159">
            <v>290</v>
          </cell>
          <cell r="L159" t="str">
            <v/>
          </cell>
          <cell r="N159" t="str">
            <v/>
          </cell>
        </row>
        <row r="160">
          <cell r="C160" t="str">
            <v xml:space="preserve">SANDWICH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L160" t="str">
            <v/>
          </cell>
          <cell r="N160" t="str">
            <v/>
          </cell>
        </row>
        <row r="161">
          <cell r="A161" t="str">
            <v>0601</v>
          </cell>
          <cell r="B161" t="str">
            <v xml:space="preserve">SANDWICH </v>
          </cell>
          <cell r="C161" t="str">
            <v>SANDWICH MIGA X 4 J Y Q</v>
          </cell>
          <cell r="D161">
            <v>11000</v>
          </cell>
          <cell r="E161">
            <v>6600</v>
          </cell>
          <cell r="F161">
            <v>5410</v>
          </cell>
          <cell r="G161">
            <v>5610</v>
          </cell>
          <cell r="H161">
            <v>5940</v>
          </cell>
          <cell r="I161">
            <v>6270</v>
          </cell>
          <cell r="L161" t="str">
            <v/>
          </cell>
          <cell r="N161">
            <v>1985.9264121510676</v>
          </cell>
        </row>
        <row r="162">
          <cell r="A162" t="str">
            <v>0602</v>
          </cell>
          <cell r="B162" t="str">
            <v xml:space="preserve">SANDWICH </v>
          </cell>
          <cell r="C162" t="str">
            <v>SANDWICH MIGA X UNIDAD JAMON Y QUESO</v>
          </cell>
          <cell r="D162">
            <v>3400</v>
          </cell>
          <cell r="E162">
            <v>2000</v>
          </cell>
          <cell r="F162">
            <v>1640</v>
          </cell>
          <cell r="G162">
            <v>1700</v>
          </cell>
          <cell r="H162">
            <v>1800</v>
          </cell>
          <cell r="I162">
            <v>1900</v>
          </cell>
          <cell r="L162" t="str">
            <v/>
          </cell>
          <cell r="N162" t="str">
            <v/>
          </cell>
        </row>
        <row r="163">
          <cell r="A163" t="str">
            <v>0604</v>
          </cell>
          <cell r="B163" t="str">
            <v xml:space="preserve">SANDWICH </v>
          </cell>
          <cell r="C163" t="str">
            <v>SANDWICH MIGA J Y Q X 12 UN</v>
          </cell>
          <cell r="D163">
            <v>31100</v>
          </cell>
          <cell r="E163">
            <v>18700</v>
          </cell>
          <cell r="F163">
            <v>15330</v>
          </cell>
          <cell r="G163">
            <v>15900</v>
          </cell>
          <cell r="H163">
            <v>16830</v>
          </cell>
          <cell r="I163">
            <v>17770</v>
          </cell>
          <cell r="L163" t="str">
            <v/>
          </cell>
          <cell r="N163">
            <v>5957.7792364532024</v>
          </cell>
        </row>
        <row r="164">
          <cell r="A164" t="str">
            <v>0606</v>
          </cell>
          <cell r="B164" t="str">
            <v xml:space="preserve">SANDWICH </v>
          </cell>
          <cell r="C164" t="str">
            <v>SANDWICH MIGA SURTIDO X 1 UN</v>
          </cell>
          <cell r="D164">
            <v>3600</v>
          </cell>
          <cell r="E164">
            <v>2200</v>
          </cell>
          <cell r="F164">
            <v>1800</v>
          </cell>
          <cell r="G164">
            <v>1870</v>
          </cell>
          <cell r="H164">
            <v>1980</v>
          </cell>
          <cell r="I164">
            <v>2090</v>
          </cell>
          <cell r="L164" t="str">
            <v/>
          </cell>
          <cell r="N164">
            <v>0</v>
          </cell>
        </row>
        <row r="165">
          <cell r="A165" t="str">
            <v>0607</v>
          </cell>
          <cell r="B165" t="str">
            <v xml:space="preserve">SANDWICH </v>
          </cell>
          <cell r="C165" t="str">
            <v>SANDWICH MIGA SURTIDO X 12 UN</v>
          </cell>
          <cell r="D165">
            <v>42100</v>
          </cell>
          <cell r="E165">
            <v>25300</v>
          </cell>
          <cell r="F165">
            <v>20750</v>
          </cell>
          <cell r="G165">
            <v>21510</v>
          </cell>
          <cell r="H165">
            <v>22770</v>
          </cell>
          <cell r="I165">
            <v>24040</v>
          </cell>
          <cell r="L165" t="str">
            <v/>
          </cell>
          <cell r="N165">
            <v>0</v>
          </cell>
        </row>
        <row r="166">
          <cell r="A166" t="str">
            <v>0627</v>
          </cell>
          <cell r="B166" t="str">
            <v xml:space="preserve">SANDWICH </v>
          </cell>
          <cell r="C166" t="str">
            <v>SANDWICH MIGA NEGRO JAMON CRUDO</v>
          </cell>
          <cell r="D166">
            <v>5000</v>
          </cell>
          <cell r="E166">
            <v>3000</v>
          </cell>
          <cell r="F166">
            <v>2460</v>
          </cell>
          <cell r="G166">
            <v>2550</v>
          </cell>
          <cell r="H166">
            <v>2700</v>
          </cell>
          <cell r="I166">
            <v>2850</v>
          </cell>
          <cell r="L166" t="str">
            <v/>
          </cell>
          <cell r="N166" t="str">
            <v/>
          </cell>
        </row>
        <row r="167">
          <cell r="A167" t="str">
            <v>0628</v>
          </cell>
          <cell r="B167" t="str">
            <v xml:space="preserve">SANDWICH </v>
          </cell>
          <cell r="C167" t="str">
            <v>SANDWICH MIGA NEGRO POLLO</v>
          </cell>
          <cell r="D167">
            <v>5000</v>
          </cell>
          <cell r="E167">
            <v>3000</v>
          </cell>
          <cell r="F167">
            <v>2460</v>
          </cell>
          <cell r="G167">
            <v>2550</v>
          </cell>
          <cell r="H167">
            <v>2700</v>
          </cell>
          <cell r="I167">
            <v>2850</v>
          </cell>
          <cell r="L167" t="str">
            <v/>
          </cell>
          <cell r="N167" t="str">
            <v/>
          </cell>
        </row>
        <row r="168">
          <cell r="A168" t="str">
            <v>0605</v>
          </cell>
          <cell r="B168" t="str">
            <v xml:space="preserve">SANDWICH </v>
          </cell>
          <cell r="C168" t="str">
            <v>SANDWICH MIGA PAQUETE X 2 J Y Q</v>
          </cell>
          <cell r="D168">
            <v>6200</v>
          </cell>
          <cell r="E168">
            <v>3700</v>
          </cell>
          <cell r="F168">
            <v>3030</v>
          </cell>
          <cell r="G168">
            <v>3150</v>
          </cell>
          <cell r="H168">
            <v>3330</v>
          </cell>
          <cell r="I168">
            <v>3520</v>
          </cell>
          <cell r="L168" t="str">
            <v/>
          </cell>
          <cell r="N168">
            <v>0</v>
          </cell>
        </row>
        <row r="169">
          <cell r="A169" t="str">
            <v>0603</v>
          </cell>
          <cell r="B169" t="str">
            <v xml:space="preserve">SANDWICH </v>
          </cell>
          <cell r="C169" t="str">
            <v>PBT J Y Q</v>
          </cell>
          <cell r="D169">
            <v>5000</v>
          </cell>
          <cell r="E169">
            <v>3000</v>
          </cell>
          <cell r="F169">
            <v>2460</v>
          </cell>
          <cell r="G169">
            <v>2550</v>
          </cell>
          <cell r="H169">
            <v>2700</v>
          </cell>
          <cell r="I169">
            <v>2850</v>
          </cell>
          <cell r="L169" t="str">
            <v/>
          </cell>
          <cell r="N169">
            <v>1118.9421833333333</v>
          </cell>
        </row>
        <row r="170">
          <cell r="A170" t="str">
            <v>0608</v>
          </cell>
          <cell r="B170" t="str">
            <v xml:space="preserve">SANDWICH </v>
          </cell>
          <cell r="C170" t="str">
            <v>CIABATA</v>
          </cell>
          <cell r="D170">
            <v>6300</v>
          </cell>
          <cell r="E170">
            <v>3800</v>
          </cell>
          <cell r="F170">
            <v>3120</v>
          </cell>
          <cell r="G170">
            <v>3230</v>
          </cell>
          <cell r="H170">
            <v>3420</v>
          </cell>
          <cell r="I170">
            <v>3610</v>
          </cell>
          <cell r="L170" t="str">
            <v/>
          </cell>
          <cell r="N170">
            <v>100.22660416666666</v>
          </cell>
        </row>
        <row r="171">
          <cell r="A171" t="str">
            <v>0609</v>
          </cell>
          <cell r="B171" t="str">
            <v xml:space="preserve">SANDWICH </v>
          </cell>
          <cell r="C171" t="str">
            <v>BAGUEL</v>
          </cell>
          <cell r="D171">
            <v>5100</v>
          </cell>
          <cell r="E171">
            <v>3000</v>
          </cell>
          <cell r="F171">
            <v>2460</v>
          </cell>
          <cell r="G171">
            <v>2550</v>
          </cell>
          <cell r="H171">
            <v>2700</v>
          </cell>
          <cell r="I171">
            <v>2850</v>
          </cell>
          <cell r="L171" t="str">
            <v/>
          </cell>
          <cell r="N171">
            <v>0</v>
          </cell>
        </row>
        <row r="172">
          <cell r="A172" t="str">
            <v>0610</v>
          </cell>
          <cell r="B172" t="str">
            <v xml:space="preserve">SANDWICH </v>
          </cell>
          <cell r="C172" t="str">
            <v>SANDWICH MILANESA DE POLLO</v>
          </cell>
          <cell r="D172">
            <v>9700</v>
          </cell>
          <cell r="E172">
            <v>5800</v>
          </cell>
          <cell r="F172">
            <v>4760</v>
          </cell>
          <cell r="G172">
            <v>4930</v>
          </cell>
          <cell r="H172">
            <v>5220</v>
          </cell>
          <cell r="I172">
            <v>5510</v>
          </cell>
          <cell r="L172" t="str">
            <v/>
          </cell>
          <cell r="N172">
            <v>0</v>
          </cell>
        </row>
        <row r="173">
          <cell r="A173" t="str">
            <v>0623</v>
          </cell>
          <cell r="B173" t="str">
            <v xml:space="preserve">SANDWICH </v>
          </cell>
          <cell r="C173" t="str">
            <v>SANDWICH MILANESA DE CARNE</v>
          </cell>
          <cell r="D173">
            <v>10600</v>
          </cell>
          <cell r="E173">
            <v>6300</v>
          </cell>
          <cell r="F173">
            <v>5170</v>
          </cell>
          <cell r="G173">
            <v>5360</v>
          </cell>
          <cell r="H173">
            <v>5670</v>
          </cell>
          <cell r="I173">
            <v>5990</v>
          </cell>
          <cell r="L173" t="str">
            <v/>
          </cell>
          <cell r="N173">
            <v>0</v>
          </cell>
        </row>
        <row r="174">
          <cell r="A174" t="str">
            <v>0622</v>
          </cell>
          <cell r="B174" t="str">
            <v xml:space="preserve">SANDWICH </v>
          </cell>
          <cell r="C174" t="str">
            <v>SANDWICH DE MILANESA DE BERENJENA</v>
          </cell>
          <cell r="D174">
            <v>9500</v>
          </cell>
          <cell r="E174">
            <v>5700</v>
          </cell>
          <cell r="F174">
            <v>4670</v>
          </cell>
          <cell r="G174">
            <v>4850</v>
          </cell>
          <cell r="H174">
            <v>5130</v>
          </cell>
          <cell r="I174">
            <v>5420</v>
          </cell>
          <cell r="L174" t="str">
            <v/>
          </cell>
          <cell r="N174">
            <v>0</v>
          </cell>
        </row>
        <row r="175">
          <cell r="A175" t="str">
            <v>0624</v>
          </cell>
          <cell r="B175" t="str">
            <v xml:space="preserve">SANDWICH </v>
          </cell>
          <cell r="C175" t="str">
            <v>SANDWICH PAN ARABE CON JAMON Y QUESO</v>
          </cell>
          <cell r="D175">
            <v>5000</v>
          </cell>
          <cell r="E175">
            <v>3000</v>
          </cell>
          <cell r="F175">
            <v>2460</v>
          </cell>
          <cell r="G175">
            <v>2550</v>
          </cell>
          <cell r="H175">
            <v>2700</v>
          </cell>
          <cell r="I175">
            <v>2850</v>
          </cell>
          <cell r="L175" t="str">
            <v/>
          </cell>
          <cell r="N175">
            <v>0</v>
          </cell>
        </row>
        <row r="176">
          <cell r="A176" t="str">
            <v>0626</v>
          </cell>
          <cell r="B176" t="str">
            <v xml:space="preserve">SANDWICH </v>
          </cell>
          <cell r="C176" t="str">
            <v>SANDWICH VEGETARIANO</v>
          </cell>
          <cell r="D176">
            <v>6200</v>
          </cell>
          <cell r="E176">
            <v>3700</v>
          </cell>
          <cell r="F176">
            <v>3030</v>
          </cell>
          <cell r="G176">
            <v>3150</v>
          </cell>
          <cell r="H176">
            <v>3330</v>
          </cell>
          <cell r="I176">
            <v>3520</v>
          </cell>
          <cell r="L176" t="str">
            <v/>
          </cell>
          <cell r="N176" t="str">
            <v/>
          </cell>
        </row>
        <row r="177">
          <cell r="A177" t="str">
            <v>0629</v>
          </cell>
          <cell r="B177" t="str">
            <v xml:space="preserve">SANDWICH </v>
          </cell>
          <cell r="C177" t="str">
            <v>SANDWICH MATAMBRE</v>
          </cell>
          <cell r="D177">
            <v>11000</v>
          </cell>
          <cell r="E177">
            <v>6600</v>
          </cell>
          <cell r="F177">
            <v>5410</v>
          </cell>
          <cell r="G177">
            <v>5610</v>
          </cell>
          <cell r="H177">
            <v>5940</v>
          </cell>
          <cell r="I177">
            <v>6270</v>
          </cell>
          <cell r="L177" t="str">
            <v/>
          </cell>
          <cell r="N177" t="str">
            <v/>
          </cell>
        </row>
        <row r="178">
          <cell r="A178" t="str">
            <v>0611</v>
          </cell>
          <cell r="B178" t="str">
            <v xml:space="preserve">SANDWICH </v>
          </cell>
          <cell r="C178" t="str">
            <v>BAGUETIN J Y QUESO</v>
          </cell>
          <cell r="D178">
            <v>5800</v>
          </cell>
          <cell r="E178">
            <v>3500</v>
          </cell>
          <cell r="F178">
            <v>2870</v>
          </cell>
          <cell r="G178">
            <v>2980</v>
          </cell>
          <cell r="H178">
            <v>3150</v>
          </cell>
          <cell r="I178">
            <v>3330</v>
          </cell>
          <cell r="L178" t="str">
            <v/>
          </cell>
          <cell r="N178">
            <v>674.00839999999994</v>
          </cell>
        </row>
        <row r="179">
          <cell r="A179" t="str">
            <v>0612</v>
          </cell>
          <cell r="B179" t="str">
            <v xml:space="preserve">SANDWICH </v>
          </cell>
          <cell r="C179" t="str">
            <v>BAGUETIN SALAME Y QUESO</v>
          </cell>
          <cell r="D179">
            <v>5800</v>
          </cell>
          <cell r="E179">
            <v>3500</v>
          </cell>
          <cell r="F179">
            <v>2870</v>
          </cell>
          <cell r="G179">
            <v>2980</v>
          </cell>
          <cell r="H179">
            <v>3150</v>
          </cell>
          <cell r="I179">
            <v>3330</v>
          </cell>
          <cell r="L179" t="str">
            <v/>
          </cell>
          <cell r="N179">
            <v>674.00839999999994</v>
          </cell>
        </row>
        <row r="180">
          <cell r="A180" t="str">
            <v>0613</v>
          </cell>
          <cell r="B180" t="str">
            <v xml:space="preserve">SANDWICH </v>
          </cell>
          <cell r="C180" t="str">
            <v>PAN DE MOLDE NEGRO JAMON Y QUESO</v>
          </cell>
          <cell r="D180">
            <v>6200</v>
          </cell>
          <cell r="E180">
            <v>3700</v>
          </cell>
          <cell r="F180">
            <v>3030</v>
          </cell>
          <cell r="G180">
            <v>3150</v>
          </cell>
          <cell r="H180">
            <v>3330</v>
          </cell>
          <cell r="I180">
            <v>3520</v>
          </cell>
          <cell r="L180" t="str">
            <v/>
          </cell>
          <cell r="N180">
            <v>1274.3029111111111</v>
          </cell>
        </row>
        <row r="181">
          <cell r="A181" t="str">
            <v>0614</v>
          </cell>
          <cell r="B181" t="str">
            <v xml:space="preserve">SANDWICH </v>
          </cell>
          <cell r="C181" t="str">
            <v>PAN DE MOLDE NEGRO SALAME Y QUESO</v>
          </cell>
          <cell r="D181">
            <v>6200</v>
          </cell>
          <cell r="E181">
            <v>3700</v>
          </cell>
          <cell r="F181">
            <v>3030</v>
          </cell>
          <cell r="G181">
            <v>3150</v>
          </cell>
          <cell r="H181">
            <v>3330</v>
          </cell>
          <cell r="I181">
            <v>3520</v>
          </cell>
          <cell r="L181" t="str">
            <v/>
          </cell>
          <cell r="N181">
            <v>705.09171111111118</v>
          </cell>
        </row>
        <row r="182">
          <cell r="A182" t="str">
            <v>0615</v>
          </cell>
          <cell r="B182" t="str">
            <v xml:space="preserve">SANDWICH </v>
          </cell>
          <cell r="C182" t="str">
            <v>PAN DE MOLDE NEGRO CRUDO Y QUESO</v>
          </cell>
          <cell r="D182">
            <v>6200</v>
          </cell>
          <cell r="E182">
            <v>3700</v>
          </cell>
          <cell r="F182">
            <v>3030</v>
          </cell>
          <cell r="G182">
            <v>3150</v>
          </cell>
          <cell r="H182">
            <v>3330</v>
          </cell>
          <cell r="I182">
            <v>3520</v>
          </cell>
          <cell r="L182" t="str">
            <v/>
          </cell>
          <cell r="N182">
            <v>668.59479999999996</v>
          </cell>
        </row>
        <row r="183">
          <cell r="A183" t="str">
            <v>0616</v>
          </cell>
          <cell r="B183" t="str">
            <v xml:space="preserve">SANDWICH </v>
          </cell>
          <cell r="C183" t="str">
            <v>PAN DE MOLDE NEGRO POLLO QUESO BRIE Y RUCULA</v>
          </cell>
          <cell r="D183">
            <v>13500</v>
          </cell>
          <cell r="E183">
            <v>8100</v>
          </cell>
          <cell r="F183">
            <v>6640</v>
          </cell>
          <cell r="G183">
            <v>6890</v>
          </cell>
          <cell r="H183">
            <v>7290</v>
          </cell>
          <cell r="I183">
            <v>7700</v>
          </cell>
          <cell r="L183" t="str">
            <v/>
          </cell>
          <cell r="N183">
            <v>662.96071666666671</v>
          </cell>
        </row>
        <row r="184">
          <cell r="A184" t="str">
            <v>0620</v>
          </cell>
          <cell r="B184" t="str">
            <v xml:space="preserve">SANDWICH </v>
          </cell>
          <cell r="C184" t="str">
            <v>MIGA ESPECIALES (POLLO Y RUCULA/CRUDO Y QUESOS/OTROS)</v>
          </cell>
          <cell r="D184">
            <v>5100</v>
          </cell>
          <cell r="E184">
            <v>3000</v>
          </cell>
          <cell r="F184">
            <v>2460</v>
          </cell>
          <cell r="G184">
            <v>2550</v>
          </cell>
          <cell r="H184">
            <v>2700</v>
          </cell>
          <cell r="I184">
            <v>2850</v>
          </cell>
          <cell r="L184" t="str">
            <v/>
          </cell>
          <cell r="N184">
            <v>0</v>
          </cell>
        </row>
        <row r="185">
          <cell r="A185" t="str">
            <v>0625</v>
          </cell>
          <cell r="B185" t="str">
            <v xml:space="preserve">SANDWICH </v>
          </cell>
          <cell r="C185" t="str">
            <v>FOSFORITOS CON JAMON Y QUESO X 12</v>
          </cell>
          <cell r="D185">
            <v>31700</v>
          </cell>
          <cell r="E185">
            <v>19000</v>
          </cell>
          <cell r="F185">
            <v>15580</v>
          </cell>
          <cell r="G185">
            <v>16150</v>
          </cell>
          <cell r="H185">
            <v>17100</v>
          </cell>
          <cell r="I185">
            <v>18050</v>
          </cell>
          <cell r="L185" t="str">
            <v/>
          </cell>
          <cell r="N185">
            <v>0</v>
          </cell>
        </row>
        <row r="186">
          <cell r="A186" t="str">
            <v>0617</v>
          </cell>
          <cell r="B186" t="str">
            <v xml:space="preserve">SANDWICH </v>
          </cell>
          <cell r="C186" t="str">
            <v>BANDEJAS X 5 SACRAMENTOS</v>
          </cell>
          <cell r="D186">
            <v>11000</v>
          </cell>
          <cell r="E186">
            <v>6600</v>
          </cell>
          <cell r="F186">
            <v>5410</v>
          </cell>
          <cell r="G186">
            <v>5610</v>
          </cell>
          <cell r="H186">
            <v>5940</v>
          </cell>
          <cell r="I186">
            <v>6270</v>
          </cell>
          <cell r="L186" t="str">
            <v/>
          </cell>
          <cell r="N186">
            <v>0</v>
          </cell>
        </row>
        <row r="187">
          <cell r="A187" t="str">
            <v>0619</v>
          </cell>
          <cell r="B187" t="str">
            <v xml:space="preserve">SANDWICH </v>
          </cell>
          <cell r="C187" t="str">
            <v>BANDEJA X 4 SACRAMENTOS CRUDO, RUCULA Y QUESO</v>
          </cell>
          <cell r="D187">
            <v>13400</v>
          </cell>
          <cell r="E187">
            <v>8100</v>
          </cell>
          <cell r="F187">
            <v>6640</v>
          </cell>
          <cell r="G187">
            <v>6890</v>
          </cell>
          <cell r="H187">
            <v>7290</v>
          </cell>
          <cell r="I187">
            <v>7700</v>
          </cell>
          <cell r="L187" t="str">
            <v/>
          </cell>
          <cell r="N187">
            <v>0</v>
          </cell>
        </row>
        <row r="188">
          <cell r="A188" t="str">
            <v>0618</v>
          </cell>
          <cell r="B188" t="str">
            <v xml:space="preserve">SANDWICH </v>
          </cell>
          <cell r="C188" t="str">
            <v>DOCENA MEDIALUNAS JAMON Y QUESO</v>
          </cell>
          <cell r="D188">
            <v>31800</v>
          </cell>
          <cell r="E188">
            <v>19100</v>
          </cell>
          <cell r="F188">
            <v>15660</v>
          </cell>
          <cell r="G188">
            <v>16240</v>
          </cell>
          <cell r="H188">
            <v>17190</v>
          </cell>
          <cell r="I188">
            <v>18150</v>
          </cell>
          <cell r="L188" t="str">
            <v/>
          </cell>
          <cell r="N188">
            <v>0</v>
          </cell>
        </row>
        <row r="189">
          <cell r="A189" t="str">
            <v>0621</v>
          </cell>
          <cell r="B189" t="str">
            <v xml:space="preserve">SANDWICH </v>
          </cell>
          <cell r="C189" t="str">
            <v>CROISSANT CON JAMON Y QUESO</v>
          </cell>
          <cell r="D189">
            <v>5600</v>
          </cell>
          <cell r="E189">
            <v>3400</v>
          </cell>
          <cell r="F189">
            <v>2790</v>
          </cell>
          <cell r="G189">
            <v>2890</v>
          </cell>
          <cell r="H189">
            <v>3060</v>
          </cell>
          <cell r="I189">
            <v>3230</v>
          </cell>
          <cell r="L189" t="str">
            <v/>
          </cell>
          <cell r="N189">
            <v>0</v>
          </cell>
        </row>
        <row r="190">
          <cell r="A190" t="str">
            <v>0629</v>
          </cell>
          <cell r="B190" t="str">
            <v xml:space="preserve">SANDWICH </v>
          </cell>
          <cell r="C190" t="str">
            <v>CROISSANT CAFETERIA</v>
          </cell>
          <cell r="D190">
            <v>17200</v>
          </cell>
          <cell r="E190">
            <v>10300</v>
          </cell>
          <cell r="F190">
            <v>8450</v>
          </cell>
          <cell r="G190">
            <v>8760</v>
          </cell>
          <cell r="H190">
            <v>9270</v>
          </cell>
          <cell r="I190">
            <v>9790</v>
          </cell>
          <cell r="L190" t="str">
            <v/>
          </cell>
          <cell r="N190" t="str">
            <v/>
          </cell>
        </row>
        <row r="191">
          <cell r="A191" t="str">
            <v>0630</v>
          </cell>
          <cell r="B191" t="str">
            <v xml:space="preserve">SANDWICH </v>
          </cell>
          <cell r="C191" t="str">
            <v>SANDWICH MILA BERENJENA</v>
          </cell>
          <cell r="D191">
            <v>8000</v>
          </cell>
          <cell r="E191">
            <v>4800</v>
          </cell>
          <cell r="F191">
            <v>3940</v>
          </cell>
          <cell r="G191">
            <v>4080</v>
          </cell>
          <cell r="H191">
            <v>4320</v>
          </cell>
          <cell r="I191">
            <v>4560</v>
          </cell>
          <cell r="L191" t="str">
            <v/>
          </cell>
          <cell r="N191" t="str">
            <v/>
          </cell>
        </row>
        <row r="192">
          <cell r="A192" t="str">
            <v>0631</v>
          </cell>
          <cell r="B192" t="str">
            <v xml:space="preserve">SANDWICH </v>
          </cell>
          <cell r="C192" t="str">
            <v>SANDWICH ALEMANCITO CRUDO/QUESO/RUCULA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L192" t="str">
            <v/>
          </cell>
          <cell r="N192" t="str">
            <v/>
          </cell>
        </row>
        <row r="193">
          <cell r="C193" t="str">
            <v>COMIDA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L193" t="str">
            <v/>
          </cell>
          <cell r="N193" t="str">
            <v/>
          </cell>
        </row>
        <row r="194">
          <cell r="A194" t="str">
            <v>0706</v>
          </cell>
          <cell r="B194" t="str">
            <v>COMIDA</v>
          </cell>
          <cell r="C194" t="str">
            <v>ENSALADAS DE FRUTAS</v>
          </cell>
          <cell r="D194">
            <v>5600</v>
          </cell>
          <cell r="E194">
            <v>3400</v>
          </cell>
          <cell r="F194">
            <v>2790</v>
          </cell>
          <cell r="G194">
            <v>2890</v>
          </cell>
          <cell r="H194">
            <v>3060</v>
          </cell>
          <cell r="I194">
            <v>3230</v>
          </cell>
          <cell r="L194" t="str">
            <v/>
          </cell>
          <cell r="N194">
            <v>374.73684210526318</v>
          </cell>
        </row>
        <row r="195">
          <cell r="A195" t="str">
            <v>0701</v>
          </cell>
          <cell r="B195" t="str">
            <v>COMIDA</v>
          </cell>
          <cell r="C195" t="str">
            <v>ENSALADAS DE VERDURA</v>
          </cell>
          <cell r="D195">
            <v>12200</v>
          </cell>
          <cell r="E195">
            <v>7300</v>
          </cell>
          <cell r="F195">
            <v>5990</v>
          </cell>
          <cell r="G195">
            <v>6210</v>
          </cell>
          <cell r="H195">
            <v>6570</v>
          </cell>
          <cell r="I195">
            <v>6940</v>
          </cell>
          <cell r="L195" t="str">
            <v/>
          </cell>
          <cell r="N195">
            <v>0</v>
          </cell>
        </row>
        <row r="196">
          <cell r="A196" t="str">
            <v>0702</v>
          </cell>
          <cell r="B196" t="str">
            <v>COMIDA</v>
          </cell>
          <cell r="C196" t="str">
            <v>ENSALADA CEASAR</v>
          </cell>
          <cell r="D196">
            <v>14400</v>
          </cell>
          <cell r="E196">
            <v>8600</v>
          </cell>
          <cell r="F196">
            <v>7050</v>
          </cell>
          <cell r="G196">
            <v>7310</v>
          </cell>
          <cell r="H196">
            <v>7740</v>
          </cell>
          <cell r="I196">
            <v>8170</v>
          </cell>
          <cell r="L196" t="str">
            <v/>
          </cell>
          <cell r="N196">
            <v>1688.9355</v>
          </cell>
        </row>
        <row r="197">
          <cell r="A197" t="str">
            <v>0704</v>
          </cell>
          <cell r="B197" t="str">
            <v>COMIDA</v>
          </cell>
          <cell r="C197" t="str">
            <v>EMPANADA X 12</v>
          </cell>
          <cell r="D197">
            <v>31100</v>
          </cell>
          <cell r="E197">
            <v>18700</v>
          </cell>
          <cell r="F197">
            <v>15330</v>
          </cell>
          <cell r="G197">
            <v>15900</v>
          </cell>
          <cell r="H197">
            <v>16830</v>
          </cell>
          <cell r="I197">
            <v>17770</v>
          </cell>
          <cell r="L197" t="str">
            <v/>
          </cell>
          <cell r="N197">
            <v>5957.2245000000003</v>
          </cell>
        </row>
        <row r="198">
          <cell r="A198" t="str">
            <v>0705</v>
          </cell>
          <cell r="B198" t="str">
            <v>COMIDA</v>
          </cell>
          <cell r="C198" t="str">
            <v>EMPANADA X UNIDAD</v>
          </cell>
          <cell r="D198">
            <v>3200</v>
          </cell>
          <cell r="E198">
            <v>1900</v>
          </cell>
          <cell r="F198">
            <v>1560</v>
          </cell>
          <cell r="G198">
            <v>1620</v>
          </cell>
          <cell r="H198">
            <v>1710</v>
          </cell>
          <cell r="I198">
            <v>1810</v>
          </cell>
          <cell r="L198" t="str">
            <v/>
          </cell>
          <cell r="N198">
            <v>496.43537500000002</v>
          </cell>
        </row>
        <row r="199">
          <cell r="A199" t="str">
            <v>0707</v>
          </cell>
          <cell r="B199" t="str">
            <v>COMIDA</v>
          </cell>
          <cell r="C199" t="str">
            <v>EMPANADA X UNIDAD CARNE</v>
          </cell>
          <cell r="D199">
            <v>3200</v>
          </cell>
          <cell r="E199">
            <v>1900</v>
          </cell>
          <cell r="F199">
            <v>1560</v>
          </cell>
          <cell r="G199">
            <v>1620</v>
          </cell>
          <cell r="H199">
            <v>1710</v>
          </cell>
          <cell r="I199">
            <v>1810</v>
          </cell>
          <cell r="L199" t="str">
            <v/>
          </cell>
          <cell r="N199">
            <v>799.78947368421052</v>
          </cell>
        </row>
        <row r="200">
          <cell r="A200" t="str">
            <v>0708</v>
          </cell>
          <cell r="B200" t="str">
            <v>COMIDA</v>
          </cell>
          <cell r="C200" t="str">
            <v>EMPANADA X UNIDAD POLLO</v>
          </cell>
          <cell r="D200">
            <v>3200</v>
          </cell>
          <cell r="E200">
            <v>1900</v>
          </cell>
          <cell r="F200">
            <v>1560</v>
          </cell>
          <cell r="G200">
            <v>1620</v>
          </cell>
          <cell r="H200">
            <v>1710</v>
          </cell>
          <cell r="I200">
            <v>1810</v>
          </cell>
          <cell r="L200" t="str">
            <v/>
          </cell>
          <cell r="N200">
            <v>404.98947368421051</v>
          </cell>
        </row>
        <row r="201">
          <cell r="A201" t="str">
            <v>0709</v>
          </cell>
          <cell r="B201" t="str">
            <v>COMIDA</v>
          </cell>
          <cell r="C201" t="str">
            <v>EMPANADA X UNIDAD VERDURA</v>
          </cell>
          <cell r="D201">
            <v>3200</v>
          </cell>
          <cell r="E201">
            <v>1900</v>
          </cell>
          <cell r="F201">
            <v>1560</v>
          </cell>
          <cell r="G201">
            <v>1620</v>
          </cell>
          <cell r="H201">
            <v>1710</v>
          </cell>
          <cell r="I201">
            <v>1810</v>
          </cell>
          <cell r="L201" t="str">
            <v/>
          </cell>
          <cell r="N201">
            <v>0</v>
          </cell>
        </row>
        <row r="202">
          <cell r="A202" t="str">
            <v>0716</v>
          </cell>
          <cell r="B202" t="str">
            <v>COMIDA</v>
          </cell>
          <cell r="C202" t="str">
            <v>EMPANADA X UNIDAD J Y Q</v>
          </cell>
          <cell r="D202">
            <v>3200</v>
          </cell>
          <cell r="E202">
            <v>1900</v>
          </cell>
          <cell r="F202">
            <v>1560</v>
          </cell>
          <cell r="G202">
            <v>1620</v>
          </cell>
          <cell r="H202">
            <v>1710</v>
          </cell>
          <cell r="I202">
            <v>1810</v>
          </cell>
          <cell r="L202" t="str">
            <v/>
          </cell>
          <cell r="N202">
            <v>496.43537500000002</v>
          </cell>
        </row>
        <row r="203">
          <cell r="A203" t="str">
            <v>0703</v>
          </cell>
          <cell r="B203" t="str">
            <v>COMIDA</v>
          </cell>
          <cell r="C203" t="str">
            <v>TARTA INDIVIDUAL JAMON Y QUESO</v>
          </cell>
          <cell r="D203">
            <v>11900</v>
          </cell>
          <cell r="E203">
            <v>7100</v>
          </cell>
          <cell r="F203">
            <v>5820</v>
          </cell>
          <cell r="G203">
            <v>6040</v>
          </cell>
          <cell r="H203">
            <v>6390</v>
          </cell>
          <cell r="I203">
            <v>6750</v>
          </cell>
          <cell r="L203" t="str">
            <v/>
          </cell>
          <cell r="N203">
            <v>0</v>
          </cell>
        </row>
        <row r="204">
          <cell r="A204" t="str">
            <v>0710</v>
          </cell>
          <cell r="B204" t="str">
            <v>COMIDA</v>
          </cell>
          <cell r="C204" t="str">
            <v>TARTA INDIVIDUAL VERDURA</v>
          </cell>
          <cell r="D204">
            <v>11900</v>
          </cell>
          <cell r="E204">
            <v>7100</v>
          </cell>
          <cell r="F204">
            <v>5820</v>
          </cell>
          <cell r="G204">
            <v>6040</v>
          </cell>
          <cell r="H204">
            <v>6390</v>
          </cell>
          <cell r="I204">
            <v>6750</v>
          </cell>
          <cell r="L204" t="str">
            <v/>
          </cell>
          <cell r="N204">
            <v>0</v>
          </cell>
        </row>
        <row r="205">
          <cell r="A205" t="str">
            <v>0711</v>
          </cell>
          <cell r="B205" t="str">
            <v>COMIDA</v>
          </cell>
          <cell r="C205" t="str">
            <v>TARTA INDIVIDUAL BROCOLI</v>
          </cell>
          <cell r="D205">
            <v>11900</v>
          </cell>
          <cell r="E205">
            <v>7100</v>
          </cell>
          <cell r="F205">
            <v>5820</v>
          </cell>
          <cell r="G205">
            <v>6040</v>
          </cell>
          <cell r="H205">
            <v>6390</v>
          </cell>
          <cell r="I205">
            <v>6750</v>
          </cell>
          <cell r="L205" t="str">
            <v/>
          </cell>
          <cell r="N205">
            <v>1118.5614035087719</v>
          </cell>
        </row>
        <row r="206">
          <cell r="A206" t="str">
            <v>0712</v>
          </cell>
          <cell r="B206" t="str">
            <v>COMIDA</v>
          </cell>
          <cell r="C206" t="str">
            <v>TARTA INDIVIDUAL TRICOLOR</v>
          </cell>
          <cell r="D206">
            <v>11900</v>
          </cell>
          <cell r="E206">
            <v>7100</v>
          </cell>
          <cell r="F206">
            <v>5820</v>
          </cell>
          <cell r="G206">
            <v>6040</v>
          </cell>
          <cell r="H206">
            <v>6390</v>
          </cell>
          <cell r="I206">
            <v>6750</v>
          </cell>
          <cell r="L206" t="str">
            <v/>
          </cell>
          <cell r="N206">
            <v>0</v>
          </cell>
        </row>
        <row r="207">
          <cell r="A207" t="str">
            <v>0713</v>
          </cell>
          <cell r="B207" t="str">
            <v>COMIDA</v>
          </cell>
          <cell r="C207" t="str">
            <v>TARTA INDIVIDUAL ZAPALLITO</v>
          </cell>
          <cell r="D207">
            <v>11900</v>
          </cell>
          <cell r="E207">
            <v>7100</v>
          </cell>
          <cell r="F207">
            <v>5820</v>
          </cell>
          <cell r="G207">
            <v>6040</v>
          </cell>
          <cell r="H207">
            <v>6390</v>
          </cell>
          <cell r="I207">
            <v>6750</v>
          </cell>
          <cell r="L207" t="str">
            <v/>
          </cell>
          <cell r="N207">
            <v>0</v>
          </cell>
        </row>
        <row r="208">
          <cell r="A208" t="str">
            <v>0714</v>
          </cell>
          <cell r="B208" t="str">
            <v>COMIDA</v>
          </cell>
          <cell r="C208" t="str">
            <v>TARTA INDIVIDUAL POLLO</v>
          </cell>
          <cell r="D208">
            <v>11900</v>
          </cell>
          <cell r="E208">
            <v>7100</v>
          </cell>
          <cell r="F208">
            <v>5820</v>
          </cell>
          <cell r="G208">
            <v>6040</v>
          </cell>
          <cell r="H208">
            <v>6390</v>
          </cell>
          <cell r="I208">
            <v>6750</v>
          </cell>
          <cell r="L208" t="str">
            <v/>
          </cell>
          <cell r="N208">
            <v>0</v>
          </cell>
        </row>
        <row r="209">
          <cell r="A209" t="str">
            <v>0715</v>
          </cell>
          <cell r="B209" t="str">
            <v>COMIDA</v>
          </cell>
          <cell r="C209" t="str">
            <v>TARTA INDIVIDUAL CALABAZA</v>
          </cell>
          <cell r="D209">
            <v>11900</v>
          </cell>
          <cell r="E209">
            <v>7100</v>
          </cell>
          <cell r="F209">
            <v>5820</v>
          </cell>
          <cell r="G209">
            <v>6040</v>
          </cell>
          <cell r="H209">
            <v>6390</v>
          </cell>
          <cell r="I209">
            <v>6750</v>
          </cell>
          <cell r="L209" t="str">
            <v/>
          </cell>
          <cell r="N209">
            <v>0</v>
          </cell>
        </row>
        <row r="210">
          <cell r="A210" t="str">
            <v>0717</v>
          </cell>
          <cell r="B210" t="str">
            <v>COMIDA</v>
          </cell>
          <cell r="C210" t="str">
            <v xml:space="preserve">WRAPS DE POLLO Y VERDURA X2 </v>
          </cell>
          <cell r="D210">
            <v>15500</v>
          </cell>
          <cell r="E210">
            <v>9300</v>
          </cell>
          <cell r="F210">
            <v>7630</v>
          </cell>
          <cell r="G210">
            <v>7910</v>
          </cell>
          <cell r="H210">
            <v>8370</v>
          </cell>
          <cell r="I210">
            <v>8840</v>
          </cell>
          <cell r="L210" t="str">
            <v/>
          </cell>
          <cell r="N210" t="str">
            <v/>
          </cell>
        </row>
        <row r="211">
          <cell r="A211" t="str">
            <v>0718</v>
          </cell>
          <cell r="B211" t="str">
            <v>COMIDA</v>
          </cell>
          <cell r="C211" t="str">
            <v>ROLLS VERDURA X</v>
          </cell>
          <cell r="D211">
            <v>16900</v>
          </cell>
          <cell r="E211">
            <v>10200</v>
          </cell>
          <cell r="F211">
            <v>8360</v>
          </cell>
          <cell r="G211">
            <v>8670</v>
          </cell>
          <cell r="H211">
            <v>9180</v>
          </cell>
          <cell r="I211">
            <v>9690</v>
          </cell>
          <cell r="L211" t="str">
            <v/>
          </cell>
          <cell r="N211" t="str">
            <v/>
          </cell>
        </row>
        <row r="212">
          <cell r="A212" t="str">
            <v>0719</v>
          </cell>
          <cell r="B212" t="str">
            <v>COMIDA</v>
          </cell>
          <cell r="C212" t="str">
            <v>ROLLS X 1</v>
          </cell>
          <cell r="D212">
            <v>9200</v>
          </cell>
          <cell r="E212">
            <v>5500</v>
          </cell>
          <cell r="F212">
            <v>4510</v>
          </cell>
          <cell r="G212">
            <v>4680</v>
          </cell>
          <cell r="H212">
            <v>4950</v>
          </cell>
          <cell r="I212">
            <v>5230</v>
          </cell>
          <cell r="L212" t="str">
            <v/>
          </cell>
          <cell r="N212" t="str">
            <v/>
          </cell>
        </row>
        <row r="213">
          <cell r="A213" t="str">
            <v>0720</v>
          </cell>
          <cell r="B213" t="str">
            <v>COMIDA</v>
          </cell>
          <cell r="C213" t="str">
            <v>TERRINA X KILO</v>
          </cell>
          <cell r="D213">
            <v>18500</v>
          </cell>
          <cell r="E213">
            <v>11100</v>
          </cell>
          <cell r="F213">
            <v>9100</v>
          </cell>
          <cell r="G213">
            <v>9440</v>
          </cell>
          <cell r="H213">
            <v>9990</v>
          </cell>
          <cell r="I213">
            <v>10550</v>
          </cell>
          <cell r="L213" t="str">
            <v/>
          </cell>
          <cell r="N213" t="str">
            <v/>
          </cell>
        </row>
        <row r="214">
          <cell r="A214" t="str">
            <v>0721</v>
          </cell>
          <cell r="B214" t="str">
            <v>COMIDA</v>
          </cell>
          <cell r="C214" t="str">
            <v>SANDWICH MATAMBRE DE POLLO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L214" t="str">
            <v/>
          </cell>
          <cell r="N214" t="str">
            <v/>
          </cell>
        </row>
        <row r="215">
          <cell r="A215" t="str">
            <v>0722</v>
          </cell>
          <cell r="B215" t="str">
            <v>COMIDA</v>
          </cell>
          <cell r="C215" t="str">
            <v>BUDIN TRICOLOR</v>
          </cell>
          <cell r="D215">
            <v>18500</v>
          </cell>
          <cell r="E215">
            <v>11100</v>
          </cell>
          <cell r="F215">
            <v>9100</v>
          </cell>
          <cell r="G215">
            <v>9440</v>
          </cell>
          <cell r="H215">
            <v>9990</v>
          </cell>
          <cell r="I215">
            <v>10550</v>
          </cell>
          <cell r="L215" t="str">
            <v/>
          </cell>
          <cell r="N215" t="str">
            <v/>
          </cell>
        </row>
        <row r="216">
          <cell r="A216" t="str">
            <v>0723</v>
          </cell>
          <cell r="B216" t="str">
            <v>COMIDA</v>
          </cell>
          <cell r="C216" t="str">
            <v>LASANA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L216" t="str">
            <v/>
          </cell>
          <cell r="N216" t="str">
            <v/>
          </cell>
        </row>
        <row r="217">
          <cell r="A217" t="str">
            <v>0724</v>
          </cell>
          <cell r="B217" t="str">
            <v>COMIDA</v>
          </cell>
          <cell r="C217" t="str">
            <v>CANELONES ACELGA</v>
          </cell>
          <cell r="D217">
            <v>16800</v>
          </cell>
          <cell r="E217">
            <v>10100</v>
          </cell>
          <cell r="F217">
            <v>8280</v>
          </cell>
          <cell r="G217">
            <v>8590</v>
          </cell>
          <cell r="H217">
            <v>9090</v>
          </cell>
          <cell r="I217">
            <v>9600</v>
          </cell>
          <cell r="L217" t="str">
            <v/>
          </cell>
          <cell r="N217" t="str">
            <v/>
          </cell>
        </row>
        <row r="218">
          <cell r="A218" t="str">
            <v>0725</v>
          </cell>
          <cell r="B218" t="str">
            <v>COMIDA</v>
          </cell>
          <cell r="C218" t="str">
            <v>CANELONES CALABAZA</v>
          </cell>
          <cell r="D218">
            <v>16800</v>
          </cell>
          <cell r="E218">
            <v>10100</v>
          </cell>
          <cell r="F218">
            <v>8280</v>
          </cell>
          <cell r="G218">
            <v>8590</v>
          </cell>
          <cell r="H218">
            <v>9090</v>
          </cell>
          <cell r="I218">
            <v>9600</v>
          </cell>
          <cell r="L218" t="str">
            <v/>
          </cell>
          <cell r="N218" t="str">
            <v/>
          </cell>
        </row>
        <row r="219">
          <cell r="A219" t="str">
            <v>0726</v>
          </cell>
          <cell r="B219" t="str">
            <v>COMIDA</v>
          </cell>
          <cell r="C219" t="str">
            <v>SUPREMA C/PAPAS</v>
          </cell>
          <cell r="D219">
            <v>18800</v>
          </cell>
          <cell r="E219">
            <v>11300</v>
          </cell>
          <cell r="F219">
            <v>9270</v>
          </cell>
          <cell r="G219">
            <v>9610</v>
          </cell>
          <cell r="H219">
            <v>10170</v>
          </cell>
          <cell r="I219">
            <v>10740</v>
          </cell>
          <cell r="L219" t="str">
            <v/>
          </cell>
          <cell r="N219" t="str">
            <v/>
          </cell>
        </row>
        <row r="220">
          <cell r="A220" t="str">
            <v>0727</v>
          </cell>
          <cell r="B220" t="str">
            <v>COMIDA</v>
          </cell>
          <cell r="C220" t="str">
            <v>TORTILLA DE PAPAS</v>
          </cell>
          <cell r="D220">
            <v>9700</v>
          </cell>
          <cell r="E220">
            <v>5800</v>
          </cell>
          <cell r="F220">
            <v>4760</v>
          </cell>
          <cell r="G220">
            <v>4930</v>
          </cell>
          <cell r="H220">
            <v>5220</v>
          </cell>
          <cell r="I220">
            <v>5510</v>
          </cell>
          <cell r="N220" t="str">
            <v/>
          </cell>
        </row>
        <row r="221">
          <cell r="C221" t="str">
            <v>TORTAS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N221" t="str">
            <v/>
          </cell>
        </row>
        <row r="222">
          <cell r="A222" t="str">
            <v>0804</v>
          </cell>
          <cell r="B222" t="str">
            <v>TORTAS</v>
          </cell>
          <cell r="C222" t="str">
            <v>TORTA GRANDE</v>
          </cell>
          <cell r="D222">
            <v>35900</v>
          </cell>
          <cell r="E222">
            <v>21500</v>
          </cell>
          <cell r="F222">
            <v>17630</v>
          </cell>
          <cell r="G222">
            <v>18280</v>
          </cell>
          <cell r="H222">
            <v>19350</v>
          </cell>
          <cell r="I222">
            <v>20430</v>
          </cell>
          <cell r="N222">
            <v>8402.2979241192406</v>
          </cell>
        </row>
        <row r="223">
          <cell r="A223" t="str">
            <v>0805</v>
          </cell>
          <cell r="B223" t="str">
            <v>TORTAS</v>
          </cell>
          <cell r="C223" t="str">
            <v>RICOTA</v>
          </cell>
          <cell r="D223">
            <v>23300</v>
          </cell>
          <cell r="E223">
            <v>14000</v>
          </cell>
          <cell r="F223">
            <v>11480</v>
          </cell>
          <cell r="G223">
            <v>11900</v>
          </cell>
          <cell r="H223">
            <v>12600</v>
          </cell>
          <cell r="I223">
            <v>13300</v>
          </cell>
          <cell r="N223">
            <v>3686.5431666666668</v>
          </cell>
        </row>
        <row r="224">
          <cell r="A224" t="str">
            <v>0806</v>
          </cell>
          <cell r="B224" t="str">
            <v>TORTAS</v>
          </cell>
          <cell r="C224" t="str">
            <v>PASTA FROLA BATATA</v>
          </cell>
          <cell r="D224">
            <v>16200</v>
          </cell>
          <cell r="E224">
            <v>9700</v>
          </cell>
          <cell r="F224">
            <v>7950</v>
          </cell>
          <cell r="G224">
            <v>8250</v>
          </cell>
          <cell r="H224">
            <v>8730</v>
          </cell>
          <cell r="I224">
            <v>9220</v>
          </cell>
          <cell r="N224">
            <v>1993.6194858024692</v>
          </cell>
        </row>
        <row r="225">
          <cell r="A225" t="str">
            <v>0807</v>
          </cell>
          <cell r="B225" t="str">
            <v>TORTAS</v>
          </cell>
          <cell r="C225" t="str">
            <v>BROWNIE</v>
          </cell>
          <cell r="D225">
            <v>33900</v>
          </cell>
          <cell r="E225">
            <v>20300</v>
          </cell>
          <cell r="F225">
            <v>16650</v>
          </cell>
          <cell r="G225">
            <v>17260</v>
          </cell>
          <cell r="H225">
            <v>18270</v>
          </cell>
          <cell r="I225">
            <v>19290</v>
          </cell>
          <cell r="N225">
            <v>0</v>
          </cell>
        </row>
        <row r="226">
          <cell r="A226" t="str">
            <v>0808</v>
          </cell>
          <cell r="B226" t="str">
            <v>TORTAS</v>
          </cell>
          <cell r="C226" t="str">
            <v>FRUTILLA</v>
          </cell>
          <cell r="D226">
            <v>29800</v>
          </cell>
          <cell r="E226">
            <v>17900</v>
          </cell>
          <cell r="F226">
            <v>14680</v>
          </cell>
          <cell r="G226">
            <v>15220</v>
          </cell>
          <cell r="H226">
            <v>16110</v>
          </cell>
          <cell r="I226">
            <v>17010</v>
          </cell>
          <cell r="N226">
            <v>6779.4065645819901</v>
          </cell>
        </row>
        <row r="227">
          <cell r="A227" t="str">
            <v>0809</v>
          </cell>
          <cell r="B227" t="str">
            <v>TORTAS</v>
          </cell>
          <cell r="C227" t="str">
            <v>TOFFY</v>
          </cell>
          <cell r="D227">
            <v>24600</v>
          </cell>
          <cell r="E227">
            <v>14800</v>
          </cell>
          <cell r="F227">
            <v>12140</v>
          </cell>
          <cell r="G227">
            <v>12580</v>
          </cell>
          <cell r="H227">
            <v>13320</v>
          </cell>
          <cell r="I227">
            <v>14060</v>
          </cell>
          <cell r="N227">
            <v>5339.9147222222218</v>
          </cell>
        </row>
        <row r="228">
          <cell r="A228" t="str">
            <v>0810</v>
          </cell>
          <cell r="B228" t="str">
            <v>TORTAS</v>
          </cell>
          <cell r="C228" t="str">
            <v>COPITO</v>
          </cell>
          <cell r="D228">
            <v>24600</v>
          </cell>
          <cell r="E228">
            <v>14800</v>
          </cell>
          <cell r="F228">
            <v>12140</v>
          </cell>
          <cell r="G228">
            <v>12580</v>
          </cell>
          <cell r="H228">
            <v>13320</v>
          </cell>
          <cell r="I228">
            <v>14060</v>
          </cell>
          <cell r="N228">
            <v>5133.3124222222214</v>
          </cell>
        </row>
        <row r="229">
          <cell r="A229" t="str">
            <v>0811</v>
          </cell>
          <cell r="B229" t="str">
            <v>TORTAS</v>
          </cell>
          <cell r="C229" t="str">
            <v>CABSHA</v>
          </cell>
          <cell r="D229">
            <v>24600</v>
          </cell>
          <cell r="E229">
            <v>14800</v>
          </cell>
          <cell r="F229">
            <v>12140</v>
          </cell>
          <cell r="G229">
            <v>12580</v>
          </cell>
          <cell r="H229">
            <v>13320</v>
          </cell>
          <cell r="I229">
            <v>14060</v>
          </cell>
          <cell r="N229">
            <v>4621.7753555555555</v>
          </cell>
        </row>
        <row r="230">
          <cell r="A230" t="str">
            <v>0812</v>
          </cell>
          <cell r="B230" t="str">
            <v>TORTAS</v>
          </cell>
          <cell r="C230" t="str">
            <v>MANZANA</v>
          </cell>
          <cell r="D230">
            <v>29300</v>
          </cell>
          <cell r="E230">
            <v>17600</v>
          </cell>
          <cell r="F230">
            <v>14430</v>
          </cell>
          <cell r="G230">
            <v>14960</v>
          </cell>
          <cell r="H230">
            <v>15840</v>
          </cell>
          <cell r="I230">
            <v>16720</v>
          </cell>
          <cell r="N230">
            <v>2965.2552222222221</v>
          </cell>
        </row>
        <row r="231">
          <cell r="A231" t="str">
            <v>0813</v>
          </cell>
          <cell r="B231" t="str">
            <v>TORTAS</v>
          </cell>
          <cell r="C231" t="str">
            <v>LEMON PIE</v>
          </cell>
          <cell r="D231">
            <v>30000</v>
          </cell>
          <cell r="E231">
            <v>18000</v>
          </cell>
          <cell r="F231">
            <v>14760</v>
          </cell>
          <cell r="G231">
            <v>15300</v>
          </cell>
          <cell r="H231">
            <v>16200</v>
          </cell>
          <cell r="I231">
            <v>17100</v>
          </cell>
          <cell r="N231">
            <v>4161.3829722222217</v>
          </cell>
        </row>
        <row r="232">
          <cell r="A232" t="str">
            <v>0814</v>
          </cell>
          <cell r="B232" t="str">
            <v>TORTAS</v>
          </cell>
          <cell r="C232" t="str">
            <v>CHEESE CAKE CLASICO</v>
          </cell>
          <cell r="D232">
            <v>35800</v>
          </cell>
          <cell r="E232">
            <v>21500</v>
          </cell>
          <cell r="F232">
            <v>17630</v>
          </cell>
          <cell r="G232">
            <v>18280</v>
          </cell>
          <cell r="H232">
            <v>19350</v>
          </cell>
          <cell r="I232">
            <v>20430</v>
          </cell>
          <cell r="N232">
            <v>6780.5761304713806</v>
          </cell>
        </row>
        <row r="233">
          <cell r="A233" t="str">
            <v>0815</v>
          </cell>
          <cell r="B233" t="str">
            <v>TORTAS</v>
          </cell>
          <cell r="C233" t="str">
            <v>NUTELLA</v>
          </cell>
          <cell r="D233">
            <v>24600</v>
          </cell>
          <cell r="E233">
            <v>14800</v>
          </cell>
          <cell r="F233">
            <v>12140</v>
          </cell>
          <cell r="G233">
            <v>12580</v>
          </cell>
          <cell r="H233">
            <v>13320</v>
          </cell>
          <cell r="I233">
            <v>14060</v>
          </cell>
          <cell r="N233">
            <v>3911.0185555555554</v>
          </cell>
        </row>
        <row r="234">
          <cell r="A234" t="str">
            <v>0816</v>
          </cell>
          <cell r="B234" t="str">
            <v>TORTAS</v>
          </cell>
          <cell r="C234" t="str">
            <v>TIRAMISU</v>
          </cell>
          <cell r="D234">
            <v>35800</v>
          </cell>
          <cell r="E234">
            <v>21500</v>
          </cell>
          <cell r="F234">
            <v>17630</v>
          </cell>
          <cell r="G234">
            <v>18280</v>
          </cell>
          <cell r="H234">
            <v>19350</v>
          </cell>
          <cell r="I234">
            <v>20430</v>
          </cell>
          <cell r="N234">
            <v>11144.840742857141</v>
          </cell>
        </row>
        <row r="235">
          <cell r="A235" t="str">
            <v>0817</v>
          </cell>
          <cell r="B235" t="str">
            <v>TORTAS</v>
          </cell>
          <cell r="C235" t="str">
            <v>MIL HOJAS</v>
          </cell>
          <cell r="D235">
            <v>29500</v>
          </cell>
          <cell r="E235">
            <v>17700</v>
          </cell>
          <cell r="F235">
            <v>14510</v>
          </cell>
          <cell r="G235">
            <v>15050</v>
          </cell>
          <cell r="H235">
            <v>15930</v>
          </cell>
          <cell r="I235">
            <v>16820</v>
          </cell>
          <cell r="N235">
            <v>5130.2273333333333</v>
          </cell>
        </row>
        <row r="236">
          <cell r="A236" t="str">
            <v>0818</v>
          </cell>
          <cell r="B236" t="str">
            <v>TORTAS</v>
          </cell>
          <cell r="C236" t="str">
            <v>CHOCOTORTA</v>
          </cell>
          <cell r="D236">
            <v>36500</v>
          </cell>
          <cell r="E236">
            <v>21900</v>
          </cell>
          <cell r="F236">
            <v>17960</v>
          </cell>
          <cell r="G236">
            <v>18620</v>
          </cell>
          <cell r="H236">
            <v>19710</v>
          </cell>
          <cell r="I236">
            <v>20810</v>
          </cell>
          <cell r="N236">
            <v>5992.7480102040818</v>
          </cell>
        </row>
        <row r="237">
          <cell r="A237" t="str">
            <v>0819</v>
          </cell>
          <cell r="B237" t="str">
            <v>TORTAS</v>
          </cell>
          <cell r="C237" t="str">
            <v>TORTAS GRANDES DE CUMPLEAÑOS ( PEDIDO X KG )</v>
          </cell>
          <cell r="D237">
            <v>41300</v>
          </cell>
          <cell r="E237">
            <v>24800</v>
          </cell>
          <cell r="F237">
            <v>20340</v>
          </cell>
          <cell r="G237">
            <v>21080</v>
          </cell>
          <cell r="H237">
            <v>22320</v>
          </cell>
          <cell r="I237">
            <v>23560</v>
          </cell>
          <cell r="N237">
            <v>0</v>
          </cell>
        </row>
        <row r="238">
          <cell r="A238" t="str">
            <v>0820</v>
          </cell>
          <cell r="B238" t="str">
            <v>TORTAS</v>
          </cell>
          <cell r="C238" t="str">
            <v xml:space="preserve">CHAJA </v>
          </cell>
          <cell r="D238">
            <v>36500</v>
          </cell>
          <cell r="E238">
            <v>21900</v>
          </cell>
          <cell r="F238">
            <v>17960</v>
          </cell>
          <cell r="G238">
            <v>18620</v>
          </cell>
          <cell r="H238">
            <v>19710</v>
          </cell>
          <cell r="I238">
            <v>20810</v>
          </cell>
          <cell r="N238">
            <v>12023.93792411924</v>
          </cell>
        </row>
        <row r="239">
          <cell r="A239" t="str">
            <v>0821</v>
          </cell>
          <cell r="B239" t="str">
            <v>TORTAS</v>
          </cell>
          <cell r="C239" t="str">
            <v>OREO</v>
          </cell>
          <cell r="D239">
            <v>36500</v>
          </cell>
          <cell r="E239">
            <v>21900</v>
          </cell>
          <cell r="F239">
            <v>17960</v>
          </cell>
          <cell r="G239">
            <v>18620</v>
          </cell>
          <cell r="H239">
            <v>19710</v>
          </cell>
          <cell r="I239">
            <v>20810</v>
          </cell>
          <cell r="N239">
            <v>5612.0085238095244</v>
          </cell>
        </row>
        <row r="240">
          <cell r="A240" t="str">
            <v>0826</v>
          </cell>
          <cell r="B240" t="str">
            <v>TORTAS</v>
          </cell>
          <cell r="C240" t="str">
            <v>MOLINO CHOCOLATE</v>
          </cell>
          <cell r="D240">
            <v>35800</v>
          </cell>
          <cell r="E240">
            <v>21500</v>
          </cell>
          <cell r="F240">
            <v>17630</v>
          </cell>
          <cell r="G240">
            <v>18280</v>
          </cell>
          <cell r="H240">
            <v>19350</v>
          </cell>
          <cell r="I240">
            <v>20430</v>
          </cell>
          <cell r="N240">
            <v>4291.8436666666666</v>
          </cell>
        </row>
        <row r="241">
          <cell r="A241" t="str">
            <v>0827</v>
          </cell>
          <cell r="B241" t="str">
            <v>TORTAS</v>
          </cell>
          <cell r="C241" t="str">
            <v>BALCARCE</v>
          </cell>
          <cell r="D241">
            <v>35800</v>
          </cell>
          <cell r="E241">
            <v>21500</v>
          </cell>
          <cell r="F241">
            <v>17630</v>
          </cell>
          <cell r="G241">
            <v>18280</v>
          </cell>
          <cell r="H241">
            <v>19350</v>
          </cell>
          <cell r="I241">
            <v>20430</v>
          </cell>
          <cell r="N241">
            <v>9525.1385924119259</v>
          </cell>
        </row>
        <row r="242">
          <cell r="A242" t="str">
            <v>0828</v>
          </cell>
          <cell r="B242" t="str">
            <v>TORTAS</v>
          </cell>
          <cell r="C242" t="str">
            <v>ADRIANA</v>
          </cell>
          <cell r="D242">
            <v>35800</v>
          </cell>
          <cell r="E242">
            <v>21500</v>
          </cell>
          <cell r="F242">
            <v>17630</v>
          </cell>
          <cell r="G242">
            <v>18280</v>
          </cell>
          <cell r="H242">
            <v>19350</v>
          </cell>
          <cell r="I242">
            <v>20430</v>
          </cell>
          <cell r="N242">
            <v>7538.0877777777787</v>
          </cell>
        </row>
        <row r="243">
          <cell r="A243" t="str">
            <v>0829</v>
          </cell>
          <cell r="B243" t="str">
            <v>TORTAS</v>
          </cell>
          <cell r="C243" t="str">
            <v>ROGEL</v>
          </cell>
          <cell r="D243">
            <v>35800</v>
          </cell>
          <cell r="E243">
            <v>21500</v>
          </cell>
          <cell r="F243">
            <v>17630</v>
          </cell>
          <cell r="G243">
            <v>18280</v>
          </cell>
          <cell r="H243">
            <v>19350</v>
          </cell>
          <cell r="I243">
            <v>20430</v>
          </cell>
          <cell r="N243">
            <v>9431.9445000000014</v>
          </cell>
        </row>
        <row r="244">
          <cell r="A244" t="str">
            <v>0830</v>
          </cell>
          <cell r="B244" t="str">
            <v>TORTAS</v>
          </cell>
          <cell r="C244" t="str">
            <v>COCO CON DDL</v>
          </cell>
          <cell r="D244">
            <v>29300</v>
          </cell>
          <cell r="E244">
            <v>17600</v>
          </cell>
          <cell r="F244">
            <v>14430</v>
          </cell>
          <cell r="G244">
            <v>14960</v>
          </cell>
          <cell r="H244">
            <v>15840</v>
          </cell>
          <cell r="I244">
            <v>16720</v>
          </cell>
          <cell r="N244">
            <v>3153.1264888888886</v>
          </cell>
        </row>
        <row r="245">
          <cell r="A245" t="str">
            <v>0831</v>
          </cell>
          <cell r="B245" t="str">
            <v>TORTAS</v>
          </cell>
          <cell r="C245" t="str">
            <v>PASTA FROLA MEMBRILLO</v>
          </cell>
          <cell r="D245">
            <v>16200</v>
          </cell>
          <cell r="E245">
            <v>9700</v>
          </cell>
          <cell r="F245">
            <v>7950</v>
          </cell>
          <cell r="G245">
            <v>8250</v>
          </cell>
          <cell r="H245">
            <v>8730</v>
          </cell>
          <cell r="I245">
            <v>9220</v>
          </cell>
          <cell r="N245">
            <v>1731.7861524691357</v>
          </cell>
        </row>
        <row r="246">
          <cell r="A246" t="str">
            <v>0832</v>
          </cell>
          <cell r="B246" t="str">
            <v>TORTAS</v>
          </cell>
          <cell r="C246" t="str">
            <v>CHESE CAKE MARACUYA</v>
          </cell>
          <cell r="D246">
            <v>35800</v>
          </cell>
          <cell r="E246">
            <v>21500</v>
          </cell>
          <cell r="F246">
            <v>17630</v>
          </cell>
          <cell r="G246">
            <v>18280</v>
          </cell>
          <cell r="H246">
            <v>19350</v>
          </cell>
          <cell r="I246">
            <v>20430</v>
          </cell>
          <cell r="N246">
            <v>7125.5427971380468</v>
          </cell>
        </row>
        <row r="247">
          <cell r="A247" t="str">
            <v>0833</v>
          </cell>
          <cell r="B247" t="str">
            <v>TORTAS</v>
          </cell>
          <cell r="C247" t="str">
            <v>CHESE CAKE FRUTILLA</v>
          </cell>
          <cell r="D247">
            <v>35800</v>
          </cell>
          <cell r="E247">
            <v>21500</v>
          </cell>
          <cell r="F247">
            <v>17630</v>
          </cell>
          <cell r="G247">
            <v>18280</v>
          </cell>
          <cell r="H247">
            <v>19350</v>
          </cell>
          <cell r="I247">
            <v>20430</v>
          </cell>
          <cell r="N247">
            <v>7180.5761304713806</v>
          </cell>
        </row>
        <row r="248">
          <cell r="A248" t="str">
            <v>0834</v>
          </cell>
          <cell r="B248" t="str">
            <v>TORTAS</v>
          </cell>
          <cell r="C248" t="str">
            <v>CHESE CAKE FRUTOS ROJOS</v>
          </cell>
          <cell r="D248">
            <v>35800</v>
          </cell>
          <cell r="E248">
            <v>21500</v>
          </cell>
          <cell r="F248">
            <v>17630</v>
          </cell>
          <cell r="G248">
            <v>18280</v>
          </cell>
          <cell r="H248">
            <v>19350</v>
          </cell>
          <cell r="I248">
            <v>20430</v>
          </cell>
          <cell r="N248">
            <v>7125.5427971380468</v>
          </cell>
        </row>
        <row r="249">
          <cell r="A249" t="str">
            <v>0835</v>
          </cell>
          <cell r="B249" t="str">
            <v>TORTAS</v>
          </cell>
          <cell r="C249" t="str">
            <v>SELVA NEGRA</v>
          </cell>
          <cell r="D249">
            <v>35800</v>
          </cell>
          <cell r="E249">
            <v>21500</v>
          </cell>
          <cell r="F249">
            <v>17630</v>
          </cell>
          <cell r="G249">
            <v>18280</v>
          </cell>
          <cell r="H249">
            <v>19350</v>
          </cell>
          <cell r="I249">
            <v>20430</v>
          </cell>
          <cell r="N249">
            <v>12993.798874551971</v>
          </cell>
        </row>
        <row r="250">
          <cell r="A250" t="str">
            <v>0836</v>
          </cell>
          <cell r="B250" t="str">
            <v>TORTAS</v>
          </cell>
          <cell r="C250" t="str">
            <v>TOFFY C CHOCOLATE BLANCO</v>
          </cell>
          <cell r="D250">
            <v>26100</v>
          </cell>
          <cell r="E250">
            <v>15600</v>
          </cell>
          <cell r="F250">
            <v>12790</v>
          </cell>
          <cell r="G250">
            <v>13260</v>
          </cell>
          <cell r="H250">
            <v>14040</v>
          </cell>
          <cell r="I250">
            <v>14820</v>
          </cell>
          <cell r="N250">
            <v>6100.7731222222219</v>
          </cell>
        </row>
        <row r="251">
          <cell r="A251" t="str">
            <v>0839</v>
          </cell>
          <cell r="B251" t="str">
            <v>TORTAS</v>
          </cell>
          <cell r="C251" t="str">
            <v>IGLU DE CHOCOLATE</v>
          </cell>
          <cell r="D251">
            <v>35800</v>
          </cell>
          <cell r="E251">
            <v>21500</v>
          </cell>
          <cell r="F251">
            <v>17630</v>
          </cell>
          <cell r="G251">
            <v>18280</v>
          </cell>
          <cell r="H251">
            <v>19350</v>
          </cell>
          <cell r="I251">
            <v>20430</v>
          </cell>
          <cell r="N251" t="str">
            <v/>
          </cell>
        </row>
        <row r="252">
          <cell r="A252" t="str">
            <v>0840</v>
          </cell>
          <cell r="B252" t="str">
            <v>TORTAS</v>
          </cell>
          <cell r="C252" t="str">
            <v>KEY LIME</v>
          </cell>
          <cell r="D252">
            <v>35800</v>
          </cell>
          <cell r="E252">
            <v>21500</v>
          </cell>
          <cell r="F252">
            <v>17630</v>
          </cell>
          <cell r="G252">
            <v>18280</v>
          </cell>
          <cell r="H252">
            <v>19350</v>
          </cell>
          <cell r="I252">
            <v>20430</v>
          </cell>
          <cell r="N252" t="str">
            <v/>
          </cell>
        </row>
        <row r="253">
          <cell r="A253" t="str">
            <v>0841</v>
          </cell>
          <cell r="B253" t="str">
            <v>TORTAS</v>
          </cell>
          <cell r="C253" t="str">
            <v>MATILDA</v>
          </cell>
          <cell r="D253">
            <v>44600</v>
          </cell>
          <cell r="E253">
            <v>26700</v>
          </cell>
          <cell r="F253">
            <v>21890</v>
          </cell>
          <cell r="G253">
            <v>22700</v>
          </cell>
          <cell r="H253">
            <v>24030</v>
          </cell>
          <cell r="I253">
            <v>25370</v>
          </cell>
          <cell r="N253" t="str">
            <v/>
          </cell>
        </row>
        <row r="254">
          <cell r="A254" t="str">
            <v>0842</v>
          </cell>
          <cell r="B254" t="str">
            <v>TORTAS</v>
          </cell>
          <cell r="C254" t="str">
            <v>SUIZA</v>
          </cell>
          <cell r="D254">
            <v>28600</v>
          </cell>
          <cell r="E254">
            <v>17200</v>
          </cell>
          <cell r="F254">
            <v>14100</v>
          </cell>
          <cell r="G254">
            <v>14620</v>
          </cell>
          <cell r="H254">
            <v>15480</v>
          </cell>
          <cell r="I254">
            <v>16340</v>
          </cell>
          <cell r="N254" t="str">
            <v/>
          </cell>
        </row>
        <row r="255">
          <cell r="A255" t="str">
            <v>0843</v>
          </cell>
          <cell r="B255" t="str">
            <v>TORTAS</v>
          </cell>
          <cell r="C255" t="str">
            <v>CHEESE PISTACHO</v>
          </cell>
          <cell r="D255">
            <v>55700</v>
          </cell>
          <cell r="E255">
            <v>33400</v>
          </cell>
          <cell r="F255">
            <v>27390</v>
          </cell>
          <cell r="G255">
            <v>28390</v>
          </cell>
          <cell r="H255">
            <v>30060</v>
          </cell>
          <cell r="I255">
            <v>31730</v>
          </cell>
          <cell r="N255" t="str">
            <v/>
          </cell>
        </row>
        <row r="256">
          <cell r="A256" t="str">
            <v>0844</v>
          </cell>
          <cell r="B256" t="str">
            <v>TORTAS</v>
          </cell>
          <cell r="C256" t="str">
            <v>KEY LINE PIE</v>
          </cell>
          <cell r="D256">
            <v>31500</v>
          </cell>
          <cell r="E256">
            <v>18900</v>
          </cell>
          <cell r="F256">
            <v>15500</v>
          </cell>
          <cell r="G256">
            <v>16070</v>
          </cell>
          <cell r="H256">
            <v>17010</v>
          </cell>
          <cell r="I256">
            <v>17960</v>
          </cell>
          <cell r="N256" t="str">
            <v/>
          </cell>
        </row>
        <row r="257">
          <cell r="A257" t="str">
            <v>0845</v>
          </cell>
          <cell r="B257" t="str">
            <v>TORTAS</v>
          </cell>
          <cell r="C257" t="str">
            <v>BIZCOCHUELO VAINILLA C/DURAZNO</v>
          </cell>
          <cell r="D257">
            <v>30400</v>
          </cell>
          <cell r="E257">
            <v>18200</v>
          </cell>
          <cell r="F257">
            <v>14920</v>
          </cell>
          <cell r="G257">
            <v>15470</v>
          </cell>
          <cell r="H257">
            <v>16380</v>
          </cell>
          <cell r="I257">
            <v>17290</v>
          </cell>
          <cell r="N257" t="str">
            <v/>
          </cell>
        </row>
        <row r="258">
          <cell r="A258" t="str">
            <v>0846</v>
          </cell>
          <cell r="B258" t="str">
            <v>TORTAS</v>
          </cell>
          <cell r="C258" t="str">
            <v>CHEESE CAKE FRUTOS ROJOS BETTY</v>
          </cell>
          <cell r="D258">
            <v>40700</v>
          </cell>
          <cell r="E258">
            <v>24400</v>
          </cell>
          <cell r="F258">
            <v>20010</v>
          </cell>
          <cell r="G258">
            <v>20740</v>
          </cell>
          <cell r="H258">
            <v>21960</v>
          </cell>
          <cell r="I258">
            <v>23180</v>
          </cell>
          <cell r="N258" t="str">
            <v/>
          </cell>
        </row>
        <row r="259">
          <cell r="A259" t="str">
            <v>0847</v>
          </cell>
          <cell r="B259" t="str">
            <v>TORTAS</v>
          </cell>
          <cell r="C259" t="str">
            <v>BIZCOCHUELO C/DDL Y CREMA</v>
          </cell>
          <cell r="D259">
            <v>24900</v>
          </cell>
          <cell r="E259">
            <v>14900</v>
          </cell>
          <cell r="F259">
            <v>12220</v>
          </cell>
          <cell r="G259">
            <v>12670</v>
          </cell>
          <cell r="H259">
            <v>13410</v>
          </cell>
          <cell r="I259">
            <v>14160</v>
          </cell>
          <cell r="N259" t="str">
            <v/>
          </cell>
        </row>
        <row r="260">
          <cell r="A260" t="str">
            <v>0848</v>
          </cell>
          <cell r="B260" t="str">
            <v>TORTAS</v>
          </cell>
          <cell r="C260" t="str">
            <v>MARQUISE</v>
          </cell>
          <cell r="D260">
            <v>28600</v>
          </cell>
          <cell r="E260">
            <v>17200</v>
          </cell>
          <cell r="F260">
            <v>14100</v>
          </cell>
          <cell r="G260">
            <v>14620</v>
          </cell>
          <cell r="H260">
            <v>15480</v>
          </cell>
          <cell r="I260">
            <v>16340</v>
          </cell>
          <cell r="N260" t="str">
            <v/>
          </cell>
        </row>
        <row r="261">
          <cell r="A261" t="str">
            <v>0849</v>
          </cell>
          <cell r="B261" t="str">
            <v>TORTAS</v>
          </cell>
          <cell r="C261" t="str">
            <v>TORTA SACHER</v>
          </cell>
          <cell r="D261">
            <v>35800</v>
          </cell>
          <cell r="E261">
            <v>21500</v>
          </cell>
          <cell r="F261">
            <v>17630</v>
          </cell>
          <cell r="G261">
            <v>18280</v>
          </cell>
          <cell r="H261">
            <v>19350</v>
          </cell>
          <cell r="I261">
            <v>20430</v>
          </cell>
          <cell r="N261" t="str">
            <v/>
          </cell>
        </row>
        <row r="262">
          <cell r="A262" t="str">
            <v>0850</v>
          </cell>
          <cell r="B262" t="str">
            <v>TORTAS</v>
          </cell>
          <cell r="C262" t="str">
            <v>TORTA MOUSSE Y FRAMBUESA</v>
          </cell>
          <cell r="D262">
            <v>35800</v>
          </cell>
          <cell r="E262">
            <v>21500</v>
          </cell>
          <cell r="F262">
            <v>17630</v>
          </cell>
          <cell r="G262">
            <v>18280</v>
          </cell>
          <cell r="H262">
            <v>19350</v>
          </cell>
          <cell r="I262">
            <v>20430</v>
          </cell>
          <cell r="N262" t="str">
            <v/>
          </cell>
        </row>
        <row r="263">
          <cell r="A263" t="str">
            <v>0851</v>
          </cell>
          <cell r="B263" t="str">
            <v>TORTAS</v>
          </cell>
          <cell r="C263" t="str">
            <v>PAVLOVA</v>
          </cell>
          <cell r="E263">
            <v>24200</v>
          </cell>
          <cell r="F263">
            <v>19840</v>
          </cell>
          <cell r="G263">
            <v>20570</v>
          </cell>
          <cell r="H263">
            <v>21780</v>
          </cell>
          <cell r="I263">
            <v>22990</v>
          </cell>
        </row>
        <row r="264">
          <cell r="A264" t="str">
            <v>0852</v>
          </cell>
          <cell r="B264" t="str">
            <v>TORTAS</v>
          </cell>
          <cell r="C264" t="str">
            <v>FRUTILLA BASE GALLETITAS</v>
          </cell>
          <cell r="E264">
            <v>24200</v>
          </cell>
          <cell r="F264">
            <v>19840</v>
          </cell>
          <cell r="G264">
            <v>20570</v>
          </cell>
          <cell r="H264">
            <v>21780</v>
          </cell>
          <cell r="I264">
            <v>22990</v>
          </cell>
        </row>
        <row r="265">
          <cell r="A265" t="str">
            <v>0853</v>
          </cell>
          <cell r="B265" t="str">
            <v>TORTAS</v>
          </cell>
          <cell r="C265" t="str">
            <v>TORTA FRANUI</v>
          </cell>
          <cell r="E265">
            <v>24200</v>
          </cell>
          <cell r="F265">
            <v>19840</v>
          </cell>
          <cell r="G265">
            <v>20570</v>
          </cell>
          <cell r="H265">
            <v>21780</v>
          </cell>
          <cell r="I265">
            <v>22990</v>
          </cell>
        </row>
        <row r="266">
          <cell r="C266" t="str">
            <v>PORCIONES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N266" t="str">
            <v/>
          </cell>
        </row>
        <row r="267">
          <cell r="A267" t="str">
            <v>0901</v>
          </cell>
          <cell r="B267" t="str">
            <v>PORCIONES</v>
          </cell>
          <cell r="C267" t="str">
            <v>BROWNIE Y LIMON COOKIES  PORCIONES</v>
          </cell>
          <cell r="D267">
            <v>5100</v>
          </cell>
          <cell r="E267">
            <v>3000</v>
          </cell>
          <cell r="F267">
            <v>2460</v>
          </cell>
          <cell r="G267">
            <v>2550</v>
          </cell>
          <cell r="H267">
            <v>2700</v>
          </cell>
          <cell r="I267">
            <v>2850</v>
          </cell>
          <cell r="N267">
            <v>0</v>
          </cell>
        </row>
        <row r="268">
          <cell r="A268" t="str">
            <v>0902</v>
          </cell>
          <cell r="B268" t="str">
            <v>PORCIONES</v>
          </cell>
          <cell r="C268" t="str">
            <v>BROWNIE SECO PORCION</v>
          </cell>
          <cell r="D268">
            <v>5600</v>
          </cell>
          <cell r="E268">
            <v>3400</v>
          </cell>
          <cell r="F268">
            <v>2790</v>
          </cell>
          <cell r="G268">
            <v>2890</v>
          </cell>
          <cell r="H268">
            <v>3060</v>
          </cell>
          <cell r="I268">
            <v>3230</v>
          </cell>
          <cell r="N268">
            <v>846.83954761904772</v>
          </cell>
        </row>
        <row r="269">
          <cell r="A269" t="str">
            <v>0903</v>
          </cell>
          <cell r="B269" t="str">
            <v>PORCIONES</v>
          </cell>
          <cell r="C269" t="str">
            <v>RICOTA PORCION</v>
          </cell>
          <cell r="D269">
            <v>7700</v>
          </cell>
          <cell r="E269">
            <v>4600</v>
          </cell>
          <cell r="F269">
            <v>3770</v>
          </cell>
          <cell r="G269">
            <v>3910</v>
          </cell>
          <cell r="H269">
            <v>4140</v>
          </cell>
          <cell r="I269">
            <v>4370</v>
          </cell>
          <cell r="N269">
            <v>1431.4095515873016</v>
          </cell>
        </row>
        <row r="270">
          <cell r="A270" t="str">
            <v>0904</v>
          </cell>
          <cell r="B270" t="str">
            <v>PORCIONES</v>
          </cell>
          <cell r="C270" t="str">
            <v>MANZANA PORCION</v>
          </cell>
          <cell r="D270">
            <v>7400</v>
          </cell>
          <cell r="E270">
            <v>4400</v>
          </cell>
          <cell r="F270">
            <v>3610</v>
          </cell>
          <cell r="G270">
            <v>3740</v>
          </cell>
          <cell r="H270">
            <v>3960</v>
          </cell>
          <cell r="I270">
            <v>4180</v>
          </cell>
          <cell r="N270">
            <v>824.00083333333328</v>
          </cell>
        </row>
        <row r="271">
          <cell r="A271" t="str">
            <v>0905</v>
          </cell>
          <cell r="B271" t="str">
            <v>PORCIONES</v>
          </cell>
          <cell r="C271" t="str">
            <v>FROLA  PORCION</v>
          </cell>
          <cell r="D271">
            <v>4500</v>
          </cell>
          <cell r="E271">
            <v>2700</v>
          </cell>
          <cell r="F271">
            <v>2210</v>
          </cell>
          <cell r="G271">
            <v>2300</v>
          </cell>
          <cell r="H271">
            <v>2430</v>
          </cell>
          <cell r="I271">
            <v>2570</v>
          </cell>
          <cell r="N271">
            <v>779.30376861111097</v>
          </cell>
        </row>
        <row r="272">
          <cell r="A272" t="str">
            <v>0907</v>
          </cell>
          <cell r="B272" t="str">
            <v>PORCIONES</v>
          </cell>
          <cell r="C272" t="str">
            <v>MIL HOJAS  PORCION</v>
          </cell>
          <cell r="D272">
            <v>10800</v>
          </cell>
          <cell r="E272">
            <v>6500</v>
          </cell>
          <cell r="F272">
            <v>5330</v>
          </cell>
          <cell r="G272">
            <v>5530</v>
          </cell>
          <cell r="H272">
            <v>5850</v>
          </cell>
          <cell r="I272">
            <v>6180</v>
          </cell>
          <cell r="N272">
            <v>1282.5568333333333</v>
          </cell>
        </row>
        <row r="273">
          <cell r="A273" t="str">
            <v>0908</v>
          </cell>
          <cell r="B273" t="str">
            <v>PORCIONES</v>
          </cell>
          <cell r="C273" t="str">
            <v>BIZCOCHUELO PORCION</v>
          </cell>
          <cell r="D273">
            <v>10300</v>
          </cell>
          <cell r="E273">
            <v>6200</v>
          </cell>
          <cell r="F273">
            <v>5080</v>
          </cell>
          <cell r="G273">
            <v>5270</v>
          </cell>
          <cell r="H273">
            <v>5580</v>
          </cell>
          <cell r="I273">
            <v>5890</v>
          </cell>
          <cell r="N273">
            <v>0</v>
          </cell>
        </row>
        <row r="274">
          <cell r="A274" t="str">
            <v>0928</v>
          </cell>
          <cell r="B274" t="str">
            <v>PORCIONES</v>
          </cell>
          <cell r="C274" t="str">
            <v>BIZCOCHUELO PORCION CON PISTACHO</v>
          </cell>
          <cell r="D274">
            <v>11100</v>
          </cell>
          <cell r="E274">
            <v>6700</v>
          </cell>
          <cell r="F274">
            <v>5490</v>
          </cell>
          <cell r="G274">
            <v>5700</v>
          </cell>
          <cell r="H274">
            <v>6030</v>
          </cell>
          <cell r="I274">
            <v>6370</v>
          </cell>
          <cell r="N274" t="str">
            <v/>
          </cell>
        </row>
        <row r="275">
          <cell r="A275" t="str">
            <v>0909</v>
          </cell>
          <cell r="B275" t="str">
            <v>PORCIONES</v>
          </cell>
          <cell r="C275" t="str">
            <v>MOUSSE  PORCION</v>
          </cell>
          <cell r="D275">
            <v>10300</v>
          </cell>
          <cell r="E275">
            <v>6200</v>
          </cell>
          <cell r="F275">
            <v>5080</v>
          </cell>
          <cell r="G275">
            <v>5270</v>
          </cell>
          <cell r="H275">
            <v>5580</v>
          </cell>
          <cell r="I275">
            <v>5890</v>
          </cell>
          <cell r="N275">
            <v>0</v>
          </cell>
        </row>
        <row r="276">
          <cell r="A276" t="str">
            <v>0911</v>
          </cell>
          <cell r="B276" t="str">
            <v>PORCIONES</v>
          </cell>
          <cell r="C276" t="str">
            <v>CHOCOTORTA  PORCION</v>
          </cell>
          <cell r="D276">
            <v>10300</v>
          </cell>
          <cell r="E276">
            <v>6200</v>
          </cell>
          <cell r="F276">
            <v>5080</v>
          </cell>
          <cell r="G276">
            <v>5270</v>
          </cell>
          <cell r="H276">
            <v>5580</v>
          </cell>
          <cell r="I276">
            <v>5890</v>
          </cell>
          <cell r="N276">
            <v>0</v>
          </cell>
        </row>
        <row r="277">
          <cell r="A277" t="str">
            <v>0912</v>
          </cell>
          <cell r="B277" t="str">
            <v>PORCIONES</v>
          </cell>
          <cell r="C277" t="str">
            <v>LIMON ALMACEN PAN  PORCION</v>
          </cell>
          <cell r="D277">
            <v>3200</v>
          </cell>
          <cell r="E277">
            <v>1900</v>
          </cell>
          <cell r="F277">
            <v>1560</v>
          </cell>
          <cell r="G277">
            <v>1620</v>
          </cell>
          <cell r="H277">
            <v>1710</v>
          </cell>
          <cell r="I277">
            <v>1810</v>
          </cell>
          <cell r="N277">
            <v>0</v>
          </cell>
        </row>
        <row r="278">
          <cell r="A278" t="str">
            <v>0913</v>
          </cell>
          <cell r="B278" t="str">
            <v>PORCIONES</v>
          </cell>
          <cell r="C278" t="str">
            <v>TIRAMISU  PORCION</v>
          </cell>
          <cell r="D278">
            <v>10500</v>
          </cell>
          <cell r="E278">
            <v>6300</v>
          </cell>
          <cell r="F278">
            <v>5170</v>
          </cell>
          <cell r="G278">
            <v>5360</v>
          </cell>
          <cell r="H278">
            <v>5670</v>
          </cell>
          <cell r="I278">
            <v>5990</v>
          </cell>
          <cell r="N278">
            <v>0</v>
          </cell>
        </row>
        <row r="279">
          <cell r="A279" t="str">
            <v>0906</v>
          </cell>
          <cell r="B279" t="str">
            <v>PORCIONES</v>
          </cell>
          <cell r="C279" t="str">
            <v>LINGOTES</v>
          </cell>
          <cell r="D279">
            <v>10700</v>
          </cell>
          <cell r="E279">
            <v>6400</v>
          </cell>
          <cell r="F279">
            <v>5250</v>
          </cell>
          <cell r="G279">
            <v>5440</v>
          </cell>
          <cell r="H279">
            <v>5760</v>
          </cell>
          <cell r="I279">
            <v>6080</v>
          </cell>
          <cell r="N279">
            <v>0</v>
          </cell>
        </row>
        <row r="280">
          <cell r="A280" t="str">
            <v>0914</v>
          </cell>
          <cell r="B280" t="str">
            <v>PORCIONES</v>
          </cell>
          <cell r="C280" t="str">
            <v xml:space="preserve">LINGOTE CARROT CAKE </v>
          </cell>
          <cell r="D280">
            <v>10700</v>
          </cell>
          <cell r="E280">
            <v>6400</v>
          </cell>
          <cell r="F280">
            <v>5250</v>
          </cell>
          <cell r="G280">
            <v>5440</v>
          </cell>
          <cell r="H280">
            <v>5760</v>
          </cell>
          <cell r="I280">
            <v>6080</v>
          </cell>
          <cell r="N280">
            <v>0</v>
          </cell>
        </row>
        <row r="281">
          <cell r="A281" t="str">
            <v>0915</v>
          </cell>
          <cell r="B281" t="str">
            <v>PORCIONES</v>
          </cell>
          <cell r="C281" t="str">
            <v>LINGOTES CHOCOTORTA</v>
          </cell>
          <cell r="D281">
            <v>10700</v>
          </cell>
          <cell r="E281">
            <v>6400</v>
          </cell>
          <cell r="F281">
            <v>5250</v>
          </cell>
          <cell r="G281">
            <v>5440</v>
          </cell>
          <cell r="H281">
            <v>5760</v>
          </cell>
          <cell r="I281">
            <v>6080</v>
          </cell>
          <cell r="N281">
            <v>1807.3630238095238</v>
          </cell>
        </row>
        <row r="282">
          <cell r="A282" t="str">
            <v>0916</v>
          </cell>
          <cell r="B282" t="str">
            <v>PORCIONES</v>
          </cell>
          <cell r="C282" t="str">
            <v>LINGOTES OREO</v>
          </cell>
          <cell r="D282">
            <v>10700</v>
          </cell>
          <cell r="E282">
            <v>6400</v>
          </cell>
          <cell r="F282">
            <v>5250</v>
          </cell>
          <cell r="G282">
            <v>5440</v>
          </cell>
          <cell r="H282">
            <v>5760</v>
          </cell>
          <cell r="I282">
            <v>6080</v>
          </cell>
          <cell r="N282">
            <v>1117.2393976190476</v>
          </cell>
        </row>
        <row r="283">
          <cell r="A283" t="str">
            <v>0917</v>
          </cell>
          <cell r="B283" t="str">
            <v>PORCIONES</v>
          </cell>
          <cell r="C283" t="str">
            <v>LINGOTES KEY LINE</v>
          </cell>
          <cell r="D283">
            <v>10700</v>
          </cell>
          <cell r="E283">
            <v>6400</v>
          </cell>
          <cell r="F283">
            <v>5250</v>
          </cell>
          <cell r="G283">
            <v>5440</v>
          </cell>
          <cell r="H283">
            <v>5760</v>
          </cell>
          <cell r="I283">
            <v>6080</v>
          </cell>
          <cell r="N283">
            <v>2094.8687500000001</v>
          </cell>
        </row>
        <row r="284">
          <cell r="A284" t="str">
            <v>0918</v>
          </cell>
          <cell r="B284" t="str">
            <v>PORCIONES</v>
          </cell>
          <cell r="C284" t="str">
            <v>LINGOTES BROWNIE</v>
          </cell>
          <cell r="D284">
            <v>10700</v>
          </cell>
          <cell r="E284">
            <v>6400</v>
          </cell>
          <cell r="F284">
            <v>5250</v>
          </cell>
          <cell r="G284">
            <v>5440</v>
          </cell>
          <cell r="H284">
            <v>5760</v>
          </cell>
          <cell r="I284">
            <v>6080</v>
          </cell>
          <cell r="N284">
            <v>0</v>
          </cell>
        </row>
        <row r="285">
          <cell r="A285" t="str">
            <v>0927</v>
          </cell>
          <cell r="B285" t="str">
            <v>PORCIONES</v>
          </cell>
          <cell r="C285" t="str">
            <v>LINGOTES RED VELVET</v>
          </cell>
          <cell r="D285">
            <v>10700</v>
          </cell>
          <cell r="E285">
            <v>6400</v>
          </cell>
          <cell r="F285">
            <v>5250</v>
          </cell>
          <cell r="G285">
            <v>5440</v>
          </cell>
          <cell r="H285">
            <v>5760</v>
          </cell>
          <cell r="I285">
            <v>6080</v>
          </cell>
          <cell r="N285" t="str">
            <v/>
          </cell>
        </row>
        <row r="286">
          <cell r="A286" t="str">
            <v>0910</v>
          </cell>
          <cell r="B286" t="str">
            <v>PORCIONES</v>
          </cell>
          <cell r="C286" t="str">
            <v>CHEESE CAKE MINI</v>
          </cell>
          <cell r="D286">
            <v>10700</v>
          </cell>
          <cell r="E286">
            <v>6400</v>
          </cell>
          <cell r="F286">
            <v>5250</v>
          </cell>
          <cell r="G286">
            <v>5440</v>
          </cell>
          <cell r="H286">
            <v>5760</v>
          </cell>
          <cell r="I286">
            <v>6080</v>
          </cell>
          <cell r="N286">
            <v>1331.1807260942762</v>
          </cell>
        </row>
        <row r="287">
          <cell r="A287" t="str">
            <v>0919</v>
          </cell>
          <cell r="B287" t="str">
            <v>PORCIONES</v>
          </cell>
          <cell r="C287" t="str">
            <v>CHEESE CAKE MINI TRADICIONAL</v>
          </cell>
          <cell r="D287">
            <v>10700</v>
          </cell>
          <cell r="E287">
            <v>6400</v>
          </cell>
          <cell r="F287">
            <v>5250</v>
          </cell>
          <cell r="G287">
            <v>5440</v>
          </cell>
          <cell r="H287">
            <v>5760</v>
          </cell>
          <cell r="I287">
            <v>6080</v>
          </cell>
          <cell r="N287">
            <v>1331.1807260942762</v>
          </cell>
        </row>
        <row r="288">
          <cell r="A288" t="str">
            <v>0920</v>
          </cell>
          <cell r="B288" t="str">
            <v>PORCIONES</v>
          </cell>
          <cell r="C288" t="str">
            <v>CHEESE CAKE MINI FRUTILLA</v>
          </cell>
          <cell r="D288">
            <v>10700</v>
          </cell>
          <cell r="E288">
            <v>6400</v>
          </cell>
          <cell r="F288">
            <v>5250</v>
          </cell>
          <cell r="G288">
            <v>5440</v>
          </cell>
          <cell r="H288">
            <v>5760</v>
          </cell>
          <cell r="I288">
            <v>6080</v>
          </cell>
          <cell r="N288">
            <v>1411.1807260942762</v>
          </cell>
        </row>
        <row r="289">
          <cell r="A289" t="str">
            <v>0921</v>
          </cell>
          <cell r="B289" t="str">
            <v>PORCIONES</v>
          </cell>
          <cell r="C289" t="str">
            <v>CHEESE CAKE MINI OREO</v>
          </cell>
          <cell r="D289">
            <v>10700</v>
          </cell>
          <cell r="E289">
            <v>6400</v>
          </cell>
          <cell r="F289">
            <v>5250</v>
          </cell>
          <cell r="G289">
            <v>5440</v>
          </cell>
          <cell r="H289">
            <v>5760</v>
          </cell>
          <cell r="I289">
            <v>6080</v>
          </cell>
          <cell r="N289">
            <v>1339.4340594276096</v>
          </cell>
        </row>
        <row r="290">
          <cell r="A290" t="str">
            <v>0922</v>
          </cell>
          <cell r="B290" t="str">
            <v>PORCIONES</v>
          </cell>
          <cell r="C290" t="str">
            <v>CHEESE CAKE MINI TIRAMISU</v>
          </cell>
          <cell r="D290">
            <v>10700</v>
          </cell>
          <cell r="E290">
            <v>6400</v>
          </cell>
          <cell r="F290">
            <v>5250</v>
          </cell>
          <cell r="G290">
            <v>5440</v>
          </cell>
          <cell r="H290">
            <v>5760</v>
          </cell>
          <cell r="I290">
            <v>6080</v>
          </cell>
          <cell r="N290">
            <v>1385.1152260942761</v>
          </cell>
        </row>
        <row r="291">
          <cell r="A291" t="str">
            <v>0923</v>
          </cell>
          <cell r="B291" t="str">
            <v>PORCIONES</v>
          </cell>
          <cell r="C291" t="str">
            <v>CHEESE CAKE MINI MOUSE</v>
          </cell>
          <cell r="D291">
            <v>10700</v>
          </cell>
          <cell r="E291">
            <v>6400</v>
          </cell>
          <cell r="F291">
            <v>5250</v>
          </cell>
          <cell r="G291">
            <v>5440</v>
          </cell>
          <cell r="H291">
            <v>5760</v>
          </cell>
          <cell r="I291">
            <v>6080</v>
          </cell>
          <cell r="N291">
            <v>0</v>
          </cell>
        </row>
        <row r="292">
          <cell r="A292" t="str">
            <v>0924</v>
          </cell>
          <cell r="B292" t="str">
            <v>PORCIONES</v>
          </cell>
          <cell r="C292" t="str">
            <v>COCO CON DDL</v>
          </cell>
          <cell r="D292">
            <v>7700</v>
          </cell>
          <cell r="E292">
            <v>4600</v>
          </cell>
          <cell r="F292">
            <v>3770</v>
          </cell>
          <cell r="G292">
            <v>3910</v>
          </cell>
          <cell r="H292">
            <v>4140</v>
          </cell>
          <cell r="I292">
            <v>4370</v>
          </cell>
          <cell r="N292">
            <v>0</v>
          </cell>
        </row>
        <row r="293">
          <cell r="A293" t="str">
            <v>0925</v>
          </cell>
          <cell r="B293" t="str">
            <v>PORCIONES</v>
          </cell>
          <cell r="C293" t="str">
            <v>FROLA  PORCION - MEMBRILLO-</v>
          </cell>
          <cell r="D293">
            <v>4500</v>
          </cell>
          <cell r="E293">
            <v>2700</v>
          </cell>
          <cell r="F293">
            <v>2210</v>
          </cell>
          <cell r="G293">
            <v>2300</v>
          </cell>
          <cell r="H293">
            <v>2430</v>
          </cell>
          <cell r="I293">
            <v>2570</v>
          </cell>
          <cell r="N293">
            <v>779.30376861111097</v>
          </cell>
        </row>
        <row r="294">
          <cell r="A294" t="str">
            <v>0926</v>
          </cell>
          <cell r="B294" t="str">
            <v>PORCIONES</v>
          </cell>
          <cell r="C294" t="str">
            <v>FROLA  PORCION -BATATA-</v>
          </cell>
          <cell r="D294">
            <v>4500</v>
          </cell>
          <cell r="E294">
            <v>2700</v>
          </cell>
          <cell r="F294">
            <v>2210</v>
          </cell>
          <cell r="G294">
            <v>2300</v>
          </cell>
          <cell r="H294">
            <v>2430</v>
          </cell>
          <cell r="I294">
            <v>2570</v>
          </cell>
          <cell r="N294">
            <v>897.12876861111101</v>
          </cell>
        </row>
        <row r="295">
          <cell r="A295" t="str">
            <v>0930</v>
          </cell>
          <cell r="B295" t="str">
            <v>PORCIONES</v>
          </cell>
          <cell r="C295" t="str">
            <v>RED  VELVET PORCION</v>
          </cell>
          <cell r="D295">
            <v>9400</v>
          </cell>
          <cell r="E295">
            <v>5600</v>
          </cell>
          <cell r="F295">
            <v>4590</v>
          </cell>
          <cell r="G295">
            <v>4760</v>
          </cell>
          <cell r="H295">
            <v>5040</v>
          </cell>
          <cell r="I295">
            <v>5320</v>
          </cell>
          <cell r="N295" t="str">
            <v/>
          </cell>
        </row>
        <row r="296">
          <cell r="A296" t="str">
            <v>0932</v>
          </cell>
          <cell r="B296" t="str">
            <v>PORCIONES</v>
          </cell>
          <cell r="C296" t="str">
            <v>MATILDA PORCION</v>
          </cell>
          <cell r="D296">
            <v>9400</v>
          </cell>
          <cell r="E296">
            <v>5600</v>
          </cell>
          <cell r="F296">
            <v>4590</v>
          </cell>
          <cell r="G296">
            <v>4760</v>
          </cell>
          <cell r="H296">
            <v>5040</v>
          </cell>
          <cell r="I296">
            <v>5320</v>
          </cell>
          <cell r="N296" t="str">
            <v/>
          </cell>
        </row>
        <row r="297">
          <cell r="A297" t="str">
            <v>0929</v>
          </cell>
          <cell r="B297" t="str">
            <v>PORCIONES</v>
          </cell>
          <cell r="C297" t="str">
            <v>CARROT CAKE PORCION</v>
          </cell>
          <cell r="D297">
            <v>9400</v>
          </cell>
          <cell r="E297">
            <v>5600</v>
          </cell>
          <cell r="F297">
            <v>4590</v>
          </cell>
          <cell r="G297">
            <v>4760</v>
          </cell>
          <cell r="H297">
            <v>5040</v>
          </cell>
          <cell r="I297">
            <v>5320</v>
          </cell>
          <cell r="N297" t="str">
            <v/>
          </cell>
        </row>
        <row r="298">
          <cell r="A298" t="str">
            <v>0931</v>
          </cell>
          <cell r="B298" t="str">
            <v>PORCIONES</v>
          </cell>
          <cell r="C298" t="str">
            <v>PIONONO C DDL</v>
          </cell>
          <cell r="D298">
            <v>20900</v>
          </cell>
          <cell r="E298">
            <v>12500</v>
          </cell>
          <cell r="F298">
            <v>10250</v>
          </cell>
          <cell r="G298">
            <v>10630</v>
          </cell>
          <cell r="H298">
            <v>11250</v>
          </cell>
          <cell r="I298">
            <v>11880</v>
          </cell>
          <cell r="N298" t="str">
            <v/>
          </cell>
        </row>
        <row r="299">
          <cell r="A299" t="str">
            <v>0933</v>
          </cell>
          <cell r="B299" t="str">
            <v>PORCIONES</v>
          </cell>
          <cell r="C299" t="str">
            <v>PIONONO ENTERO S/ NADA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N299" t="str">
            <v/>
          </cell>
        </row>
        <row r="300">
          <cell r="C300" t="str">
            <v>TORTAS INDIVIDUALES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N300" t="str">
            <v/>
          </cell>
        </row>
        <row r="301">
          <cell r="A301" t="str">
            <v>1001</v>
          </cell>
          <cell r="B301" t="str">
            <v>TORTAS INDIVIDUALES</v>
          </cell>
          <cell r="C301" t="str">
            <v>FLORA INDIVIDUAL MEMBRILLO</v>
          </cell>
          <cell r="D301">
            <v>8100</v>
          </cell>
          <cell r="E301">
            <v>4900</v>
          </cell>
          <cell r="F301">
            <v>4020</v>
          </cell>
          <cell r="G301">
            <v>4170</v>
          </cell>
          <cell r="H301">
            <v>4410</v>
          </cell>
          <cell r="I301">
            <v>4660</v>
          </cell>
          <cell r="N301">
            <v>779.30376861111097</v>
          </cell>
        </row>
        <row r="302">
          <cell r="A302" t="str">
            <v>1002</v>
          </cell>
          <cell r="B302" t="str">
            <v>TORTAS INDIVIDUALES</v>
          </cell>
          <cell r="C302" t="str">
            <v>RICOTA INDIVIDUAL</v>
          </cell>
          <cell r="D302">
            <v>9900</v>
          </cell>
          <cell r="E302">
            <v>5900</v>
          </cell>
          <cell r="F302">
            <v>4840</v>
          </cell>
          <cell r="G302">
            <v>5020</v>
          </cell>
          <cell r="H302">
            <v>5310</v>
          </cell>
          <cell r="I302">
            <v>5610</v>
          </cell>
          <cell r="N302">
            <v>1889.1018333333332</v>
          </cell>
        </row>
        <row r="303">
          <cell r="A303" t="str">
            <v>1003</v>
          </cell>
          <cell r="B303" t="str">
            <v>TORTAS INDIVIDUALES</v>
          </cell>
          <cell r="C303" t="str">
            <v>LEMON PIE INDIVIDUAL</v>
          </cell>
          <cell r="D303">
            <v>11900</v>
          </cell>
          <cell r="E303">
            <v>7100</v>
          </cell>
          <cell r="F303">
            <v>5820</v>
          </cell>
          <cell r="G303">
            <v>6040</v>
          </cell>
          <cell r="H303">
            <v>6390</v>
          </cell>
          <cell r="I303">
            <v>6750</v>
          </cell>
          <cell r="N303">
            <v>1962.3601666666668</v>
          </cell>
        </row>
        <row r="304">
          <cell r="A304" t="str">
            <v>1004</v>
          </cell>
          <cell r="B304" t="str">
            <v>TORTAS INDIVIDUALES</v>
          </cell>
          <cell r="C304" t="str">
            <v>MANZANA INDIVIDUAL</v>
          </cell>
          <cell r="D304">
            <v>11900</v>
          </cell>
          <cell r="E304">
            <v>7100</v>
          </cell>
          <cell r="F304">
            <v>5820</v>
          </cell>
          <cell r="G304">
            <v>6040</v>
          </cell>
          <cell r="H304">
            <v>6390</v>
          </cell>
          <cell r="I304">
            <v>6750</v>
          </cell>
          <cell r="N304">
            <v>1487.1203333333333</v>
          </cell>
        </row>
        <row r="305">
          <cell r="A305" t="str">
            <v>1005</v>
          </cell>
          <cell r="B305" t="str">
            <v>TORTAS INDIVIDUALES</v>
          </cell>
          <cell r="C305" t="str">
            <v>FRUTILLA INDIVIDUAL</v>
          </cell>
          <cell r="D305">
            <v>11900</v>
          </cell>
          <cell r="E305">
            <v>7100</v>
          </cell>
          <cell r="F305">
            <v>5820</v>
          </cell>
          <cell r="G305">
            <v>6040</v>
          </cell>
          <cell r="H305">
            <v>6390</v>
          </cell>
          <cell r="I305">
            <v>6750</v>
          </cell>
          <cell r="N305">
            <v>4178.6887267354386</v>
          </cell>
        </row>
        <row r="306">
          <cell r="A306" t="str">
            <v>1006</v>
          </cell>
          <cell r="B306" t="str">
            <v>TORTAS INDIVIDUALES</v>
          </cell>
          <cell r="C306" t="str">
            <v>BROWNIE CON ROCKLERST  INDIVIDUAL</v>
          </cell>
          <cell r="D306">
            <v>11900</v>
          </cell>
          <cell r="E306">
            <v>7100</v>
          </cell>
          <cell r="F306">
            <v>5820</v>
          </cell>
          <cell r="G306">
            <v>6040</v>
          </cell>
          <cell r="H306">
            <v>6390</v>
          </cell>
          <cell r="I306">
            <v>6750</v>
          </cell>
          <cell r="N306">
            <v>0</v>
          </cell>
        </row>
        <row r="307">
          <cell r="A307" t="str">
            <v>1007</v>
          </cell>
          <cell r="B307" t="str">
            <v>TORTAS INDIVIDUALES</v>
          </cell>
          <cell r="C307" t="str">
            <v>CABSHA  INDIVIDUAL</v>
          </cell>
          <cell r="D307">
            <v>11200</v>
          </cell>
          <cell r="E307">
            <v>6700</v>
          </cell>
          <cell r="F307">
            <v>5490</v>
          </cell>
          <cell r="G307">
            <v>5700</v>
          </cell>
          <cell r="H307">
            <v>6030</v>
          </cell>
          <cell r="I307">
            <v>6370</v>
          </cell>
          <cell r="N307">
            <v>2310.8876777777778</v>
          </cell>
        </row>
        <row r="308">
          <cell r="A308" t="str">
            <v>1008</v>
          </cell>
          <cell r="B308" t="str">
            <v>TORTAS INDIVIDUALES</v>
          </cell>
          <cell r="C308" t="str">
            <v>TOFFY  INDIVUAL</v>
          </cell>
          <cell r="D308">
            <v>11200</v>
          </cell>
          <cell r="E308">
            <v>6700</v>
          </cell>
          <cell r="F308">
            <v>5490</v>
          </cell>
          <cell r="G308">
            <v>5700</v>
          </cell>
          <cell r="H308">
            <v>6030</v>
          </cell>
          <cell r="I308">
            <v>6370</v>
          </cell>
          <cell r="N308">
            <v>2669.9573611111109</v>
          </cell>
        </row>
        <row r="309">
          <cell r="A309" t="str">
            <v>1009</v>
          </cell>
          <cell r="B309" t="str">
            <v>TORTAS INDIVIDUALES</v>
          </cell>
          <cell r="C309" t="str">
            <v>COPITO  INDIVIDUAL</v>
          </cell>
          <cell r="D309">
            <v>11200</v>
          </cell>
          <cell r="E309">
            <v>6700</v>
          </cell>
          <cell r="F309">
            <v>5490</v>
          </cell>
          <cell r="G309">
            <v>5700</v>
          </cell>
          <cell r="H309">
            <v>6030</v>
          </cell>
          <cell r="I309">
            <v>6370</v>
          </cell>
          <cell r="N309">
            <v>2566.6562111111107</v>
          </cell>
        </row>
        <row r="310">
          <cell r="A310" t="str">
            <v>1010</v>
          </cell>
          <cell r="B310" t="str">
            <v>TORTAS INDIVIDUALES</v>
          </cell>
          <cell r="C310" t="str">
            <v>FROLA INDIVIDUAL BATATA</v>
          </cell>
          <cell r="D310">
            <v>8100</v>
          </cell>
          <cell r="E310">
            <v>4900</v>
          </cell>
          <cell r="F310">
            <v>4020</v>
          </cell>
          <cell r="G310">
            <v>4170</v>
          </cell>
          <cell r="H310">
            <v>4410</v>
          </cell>
          <cell r="I310">
            <v>4660</v>
          </cell>
          <cell r="N310">
            <v>897.12876861111101</v>
          </cell>
        </row>
        <row r="311">
          <cell r="A311" t="str">
            <v>1011</v>
          </cell>
          <cell r="B311" t="str">
            <v>TORTAS INDIVIDUALES</v>
          </cell>
          <cell r="C311" t="str">
            <v>COCO CON DDL PORCION</v>
          </cell>
          <cell r="D311">
            <v>11900</v>
          </cell>
          <cell r="E311">
            <v>7100</v>
          </cell>
          <cell r="F311">
            <v>5820</v>
          </cell>
          <cell r="G311">
            <v>6040</v>
          </cell>
          <cell r="H311">
            <v>6390</v>
          </cell>
          <cell r="I311">
            <v>6750</v>
          </cell>
          <cell r="N311">
            <v>0</v>
          </cell>
        </row>
        <row r="312">
          <cell r="A312" t="str">
            <v>1012</v>
          </cell>
          <cell r="B312" t="str">
            <v>TORTAS INDIVIDUALES</v>
          </cell>
          <cell r="C312" t="str">
            <v>COCO CON DDL INDIVIDUAL</v>
          </cell>
          <cell r="D312">
            <v>11200</v>
          </cell>
          <cell r="E312">
            <v>6700</v>
          </cell>
          <cell r="F312">
            <v>5490</v>
          </cell>
          <cell r="G312">
            <v>5700</v>
          </cell>
          <cell r="H312">
            <v>6030</v>
          </cell>
          <cell r="I312">
            <v>6370</v>
          </cell>
          <cell r="N312">
            <v>1490.4521333333334</v>
          </cell>
        </row>
        <row r="313">
          <cell r="A313" t="str">
            <v>1013</v>
          </cell>
          <cell r="B313" t="str">
            <v>TORTAS INDIVIDUALES</v>
          </cell>
          <cell r="C313" t="str">
            <v>NUTELLA INDIVIDUAL</v>
          </cell>
          <cell r="D313">
            <v>11200</v>
          </cell>
          <cell r="E313">
            <v>6700</v>
          </cell>
          <cell r="F313">
            <v>5490</v>
          </cell>
          <cell r="G313">
            <v>5700</v>
          </cell>
          <cell r="H313">
            <v>6030</v>
          </cell>
          <cell r="I313">
            <v>6370</v>
          </cell>
          <cell r="N313">
            <v>2742.3267777777778</v>
          </cell>
        </row>
        <row r="314">
          <cell r="A314" t="str">
            <v>1014</v>
          </cell>
          <cell r="B314" t="str">
            <v>TORTAS INDIVIDUALES</v>
          </cell>
          <cell r="C314" t="str">
            <v>KEY LIME INDIVIDUAL</v>
          </cell>
          <cell r="D314">
            <v>11200</v>
          </cell>
          <cell r="E314">
            <v>6700</v>
          </cell>
          <cell r="F314">
            <v>5490</v>
          </cell>
          <cell r="G314">
            <v>5700</v>
          </cell>
          <cell r="H314">
            <v>6030</v>
          </cell>
          <cell r="I314">
            <v>6370</v>
          </cell>
          <cell r="N314" t="str">
            <v/>
          </cell>
        </row>
        <row r="315">
          <cell r="A315" t="str">
            <v>1015</v>
          </cell>
          <cell r="B315" t="str">
            <v>TORTAS INDIVIDUALES</v>
          </cell>
          <cell r="C315" t="str">
            <v>TARTA INDIVIDUAL PISTACHO</v>
          </cell>
          <cell r="D315">
            <v>11200</v>
          </cell>
          <cell r="E315">
            <v>6700</v>
          </cell>
          <cell r="F315">
            <v>5490</v>
          </cell>
          <cell r="G315">
            <v>5700</v>
          </cell>
          <cell r="H315">
            <v>6030</v>
          </cell>
          <cell r="I315">
            <v>6370</v>
          </cell>
          <cell r="N315" t="str">
            <v/>
          </cell>
        </row>
        <row r="316">
          <cell r="A316" t="str">
            <v>1016</v>
          </cell>
          <cell r="B316" t="str">
            <v>TORTAS INDIVIDUALES</v>
          </cell>
          <cell r="C316" t="str">
            <v>MATILDA INDIVIDUAL</v>
          </cell>
          <cell r="D316">
            <v>18000</v>
          </cell>
          <cell r="E316">
            <v>10800</v>
          </cell>
          <cell r="F316">
            <v>8860</v>
          </cell>
          <cell r="G316">
            <v>9180</v>
          </cell>
          <cell r="H316">
            <v>9720</v>
          </cell>
          <cell r="I316">
            <v>10260</v>
          </cell>
          <cell r="N316" t="str">
            <v/>
          </cell>
        </row>
        <row r="317">
          <cell r="A317" t="str">
            <v>1017</v>
          </cell>
          <cell r="B317" t="str">
            <v>TORTAS INDIVIDUALES</v>
          </cell>
          <cell r="C317" t="str">
            <v>POSTRECITOS</v>
          </cell>
          <cell r="E317">
            <v>3655</v>
          </cell>
          <cell r="F317">
            <v>3000</v>
          </cell>
          <cell r="G317">
            <v>3110</v>
          </cell>
          <cell r="H317">
            <v>3290</v>
          </cell>
          <cell r="I317">
            <v>3470</v>
          </cell>
        </row>
        <row r="318">
          <cell r="C318" t="str">
            <v>GALLETITAS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N318" t="str">
            <v/>
          </cell>
        </row>
        <row r="319">
          <cell r="A319" t="str">
            <v>1101</v>
          </cell>
          <cell r="B319" t="str">
            <v>GALLETITAS</v>
          </cell>
          <cell r="C319" t="str">
            <v xml:space="preserve">GALLETITAS DULCES </v>
          </cell>
          <cell r="D319">
            <v>32700</v>
          </cell>
          <cell r="E319">
            <v>19600</v>
          </cell>
          <cell r="F319">
            <v>16070</v>
          </cell>
          <cell r="G319">
            <v>16660</v>
          </cell>
          <cell r="H319">
            <v>17640</v>
          </cell>
          <cell r="I319">
            <v>18620</v>
          </cell>
          <cell r="N319">
            <v>1023.4616666666666</v>
          </cell>
        </row>
        <row r="320">
          <cell r="A320" t="str">
            <v>1102</v>
          </cell>
          <cell r="B320" t="str">
            <v>GALLETITAS</v>
          </cell>
          <cell r="C320" t="str">
            <v>GALLETITAS DULCES  X 1/4</v>
          </cell>
          <cell r="D320">
            <v>8100</v>
          </cell>
          <cell r="E320">
            <v>4900</v>
          </cell>
          <cell r="F320">
            <v>4020</v>
          </cell>
          <cell r="G320">
            <v>4170</v>
          </cell>
          <cell r="H320">
            <v>4410</v>
          </cell>
          <cell r="I320">
            <v>4660</v>
          </cell>
          <cell r="N320">
            <v>255.86541666666665</v>
          </cell>
        </row>
        <row r="321">
          <cell r="A321" t="str">
            <v>1105</v>
          </cell>
          <cell r="B321" t="str">
            <v>GALLETITAS</v>
          </cell>
          <cell r="C321" t="str">
            <v>MERENGUES</v>
          </cell>
          <cell r="D321">
            <v>38800</v>
          </cell>
          <cell r="E321">
            <v>23300</v>
          </cell>
          <cell r="F321">
            <v>19110</v>
          </cell>
          <cell r="G321">
            <v>19810</v>
          </cell>
          <cell r="H321">
            <v>20970</v>
          </cell>
          <cell r="I321">
            <v>22140</v>
          </cell>
          <cell r="N321">
            <v>3621.64</v>
          </cell>
        </row>
        <row r="322">
          <cell r="A322" t="str">
            <v>1107</v>
          </cell>
          <cell r="B322" t="str">
            <v>GALLETITAS</v>
          </cell>
          <cell r="C322" t="str">
            <v>PEPAS MEMBRILLO X KG MAYORISTA</v>
          </cell>
          <cell r="D322">
            <v>33400</v>
          </cell>
          <cell r="E322">
            <v>20100</v>
          </cell>
          <cell r="F322">
            <v>16480</v>
          </cell>
          <cell r="G322">
            <v>17090</v>
          </cell>
          <cell r="H322">
            <v>18090</v>
          </cell>
          <cell r="I322">
            <v>19100</v>
          </cell>
          <cell r="N322">
            <v>2874.6144126984132</v>
          </cell>
        </row>
        <row r="323">
          <cell r="A323" t="str">
            <v>1108</v>
          </cell>
          <cell r="B323" t="str">
            <v>GALLETITAS</v>
          </cell>
          <cell r="C323" t="str">
            <v>COQUITOS x kg MAYORISTA</v>
          </cell>
          <cell r="D323">
            <v>33400</v>
          </cell>
          <cell r="E323">
            <v>20100</v>
          </cell>
          <cell r="F323">
            <v>16480</v>
          </cell>
          <cell r="G323">
            <v>17090</v>
          </cell>
          <cell r="H323">
            <v>18090</v>
          </cell>
          <cell r="I323">
            <v>19100</v>
          </cell>
          <cell r="N323">
            <v>3437.0929962962964</v>
          </cell>
        </row>
        <row r="324">
          <cell r="A324" t="str">
            <v>1109</v>
          </cell>
          <cell r="B324" t="str">
            <v>GALLETITAS</v>
          </cell>
          <cell r="C324" t="str">
            <v>ROSQUITAS ESPAÑOLAS x kg MAYORISTA</v>
          </cell>
          <cell r="D324">
            <v>33400</v>
          </cell>
          <cell r="E324">
            <v>20100</v>
          </cell>
          <cell r="F324">
            <v>16480</v>
          </cell>
          <cell r="G324">
            <v>17090</v>
          </cell>
          <cell r="H324">
            <v>18090</v>
          </cell>
          <cell r="I324">
            <v>19100</v>
          </cell>
          <cell r="N324">
            <v>1352.4908730158729</v>
          </cell>
        </row>
        <row r="325">
          <cell r="A325" t="str">
            <v>1110</v>
          </cell>
          <cell r="B325" t="str">
            <v>GALLETITAS</v>
          </cell>
          <cell r="C325" t="str">
            <v>SCONS DULCES x kg MAYORISTA</v>
          </cell>
          <cell r="D325">
            <v>33400</v>
          </cell>
          <cell r="E325">
            <v>20100</v>
          </cell>
          <cell r="F325">
            <v>16480</v>
          </cell>
          <cell r="G325">
            <v>17090</v>
          </cell>
          <cell r="H325">
            <v>18090</v>
          </cell>
          <cell r="I325">
            <v>19100</v>
          </cell>
          <cell r="N325">
            <v>662.57832098765425</v>
          </cell>
        </row>
        <row r="326">
          <cell r="A326" t="str">
            <v>1111</v>
          </cell>
          <cell r="B326" t="str">
            <v>GALLETITAS</v>
          </cell>
          <cell r="C326" t="str">
            <v>SCONS DE QUESO x kg MAYORISTA</v>
          </cell>
          <cell r="D326">
            <v>33400</v>
          </cell>
          <cell r="E326">
            <v>20100</v>
          </cell>
          <cell r="F326">
            <v>16480</v>
          </cell>
          <cell r="G326">
            <v>17090</v>
          </cell>
          <cell r="H326">
            <v>18090</v>
          </cell>
          <cell r="I326">
            <v>19100</v>
          </cell>
          <cell r="N326">
            <v>3688.2756178026775</v>
          </cell>
        </row>
        <row r="327">
          <cell r="A327" t="str">
            <v>1112</v>
          </cell>
          <cell r="B327" t="str">
            <v>GALLETITAS</v>
          </cell>
          <cell r="C327" t="str">
            <v>PALITOS DE QUESO x kg MAYORISTA</v>
          </cell>
          <cell r="D327">
            <v>33400</v>
          </cell>
          <cell r="E327">
            <v>20100</v>
          </cell>
          <cell r="F327">
            <v>16480</v>
          </cell>
          <cell r="G327">
            <v>17090</v>
          </cell>
          <cell r="H327">
            <v>18090</v>
          </cell>
          <cell r="I327">
            <v>19100</v>
          </cell>
          <cell r="N327">
            <v>3223.3698571428572</v>
          </cell>
        </row>
        <row r="328">
          <cell r="A328" t="str">
            <v>1114</v>
          </cell>
          <cell r="B328" t="str">
            <v>GALLETITAS</v>
          </cell>
          <cell r="C328" t="str">
            <v>PEPAS BATATA X KG MAYORISTA</v>
          </cell>
          <cell r="D328">
            <v>33400</v>
          </cell>
          <cell r="E328">
            <v>20100</v>
          </cell>
          <cell r="F328">
            <v>16480</v>
          </cell>
          <cell r="G328">
            <v>17090</v>
          </cell>
          <cell r="H328">
            <v>18090</v>
          </cell>
          <cell r="I328">
            <v>19100</v>
          </cell>
          <cell r="N328" t="str">
            <v/>
          </cell>
        </row>
        <row r="329">
          <cell r="A329" t="str">
            <v>1115</v>
          </cell>
          <cell r="B329" t="str">
            <v>GALLETITAS</v>
          </cell>
          <cell r="C329" t="str">
            <v>COOKIES AVENA Y PASAS</v>
          </cell>
          <cell r="D329">
            <v>33400</v>
          </cell>
          <cell r="E329">
            <v>20100</v>
          </cell>
          <cell r="F329">
            <v>16480</v>
          </cell>
          <cell r="G329">
            <v>17090</v>
          </cell>
          <cell r="H329">
            <v>18090</v>
          </cell>
          <cell r="I329">
            <v>19100</v>
          </cell>
          <cell r="N329">
            <v>6490.9700529100537</v>
          </cell>
        </row>
        <row r="330">
          <cell r="A330" t="str">
            <v>1116</v>
          </cell>
          <cell r="B330" t="str">
            <v>GALLETITAS</v>
          </cell>
          <cell r="C330" t="str">
            <v>COOKIES VAINILLA C/ CHIPS CHO.</v>
          </cell>
          <cell r="D330">
            <v>33400</v>
          </cell>
          <cell r="E330">
            <v>20100</v>
          </cell>
          <cell r="F330">
            <v>16480</v>
          </cell>
          <cell r="G330">
            <v>17090</v>
          </cell>
          <cell r="H330">
            <v>18090</v>
          </cell>
          <cell r="I330">
            <v>19100</v>
          </cell>
          <cell r="N330">
            <v>6467.3765432098771</v>
          </cell>
        </row>
        <row r="331">
          <cell r="A331" t="str">
            <v>1117</v>
          </cell>
          <cell r="B331" t="str">
            <v>GALLETITAS</v>
          </cell>
          <cell r="C331" t="str">
            <v>COOKIES DE CHOCOLATE CON CHIPS</v>
          </cell>
          <cell r="D331">
            <v>33400</v>
          </cell>
          <cell r="E331">
            <v>20100</v>
          </cell>
          <cell r="F331">
            <v>16480</v>
          </cell>
          <cell r="G331">
            <v>17090</v>
          </cell>
          <cell r="H331">
            <v>18090</v>
          </cell>
          <cell r="I331">
            <v>19100</v>
          </cell>
          <cell r="N331">
            <v>6118.9846560846563</v>
          </cell>
        </row>
        <row r="332">
          <cell r="A332" t="str">
            <v>1118</v>
          </cell>
          <cell r="B332" t="str">
            <v>GALLETITAS</v>
          </cell>
          <cell r="C332" t="str">
            <v>COOKIES DE ROCKLERST</v>
          </cell>
          <cell r="D332">
            <v>33400</v>
          </cell>
          <cell r="E332">
            <v>20100</v>
          </cell>
          <cell r="F332">
            <v>16480</v>
          </cell>
          <cell r="G332">
            <v>17090</v>
          </cell>
          <cell r="H332">
            <v>18090</v>
          </cell>
          <cell r="I332">
            <v>19100</v>
          </cell>
          <cell r="N332">
            <v>7655.4513227513235</v>
          </cell>
        </row>
        <row r="333">
          <cell r="A333" t="str">
            <v>1119</v>
          </cell>
          <cell r="B333" t="str">
            <v>GALLETITAS</v>
          </cell>
          <cell r="C333" t="str">
            <v>PALMERITAS</v>
          </cell>
          <cell r="D333">
            <v>33400</v>
          </cell>
          <cell r="E333">
            <v>20100</v>
          </cell>
          <cell r="F333">
            <v>16480</v>
          </cell>
          <cell r="G333">
            <v>17090</v>
          </cell>
          <cell r="H333">
            <v>18090</v>
          </cell>
          <cell r="I333">
            <v>19100</v>
          </cell>
          <cell r="N333">
            <v>959.49531249999995</v>
          </cell>
        </row>
        <row r="334">
          <cell r="A334" t="str">
            <v>1120</v>
          </cell>
          <cell r="B334" t="str">
            <v>GALLETITAS</v>
          </cell>
          <cell r="C334" t="str">
            <v>MEMBRILLOS</v>
          </cell>
          <cell r="D334">
            <v>33400</v>
          </cell>
          <cell r="E334">
            <v>20100</v>
          </cell>
          <cell r="F334">
            <v>16480</v>
          </cell>
          <cell r="G334">
            <v>17090</v>
          </cell>
          <cell r="H334">
            <v>18090</v>
          </cell>
          <cell r="I334">
            <v>19100</v>
          </cell>
          <cell r="N334">
            <v>1023.4616666666666</v>
          </cell>
        </row>
        <row r="335">
          <cell r="A335" t="str">
            <v>1121</v>
          </cell>
          <cell r="B335" t="str">
            <v>GALLETITAS</v>
          </cell>
          <cell r="C335" t="str">
            <v>PEPAS X KG</v>
          </cell>
          <cell r="D335">
            <v>33400</v>
          </cell>
          <cell r="E335">
            <v>20100</v>
          </cell>
          <cell r="F335">
            <v>16480</v>
          </cell>
          <cell r="G335">
            <v>17090</v>
          </cell>
          <cell r="H335">
            <v>18090</v>
          </cell>
          <cell r="I335">
            <v>19100</v>
          </cell>
          <cell r="N335" t="str">
            <v/>
          </cell>
        </row>
        <row r="336">
          <cell r="A336" t="str">
            <v>1122</v>
          </cell>
          <cell r="B336" t="str">
            <v>GALLETITAS</v>
          </cell>
          <cell r="C336" t="str">
            <v>COOKIES X KG</v>
          </cell>
          <cell r="D336">
            <v>33400</v>
          </cell>
          <cell r="E336">
            <v>20100</v>
          </cell>
          <cell r="F336">
            <v>16480</v>
          </cell>
          <cell r="G336">
            <v>17090</v>
          </cell>
          <cell r="H336">
            <v>18090</v>
          </cell>
          <cell r="I336">
            <v>19100</v>
          </cell>
        </row>
        <row r="337">
          <cell r="C337" t="str">
            <v xml:space="preserve">BLISTERS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N337" t="str">
            <v/>
          </cell>
        </row>
        <row r="338">
          <cell r="A338" t="str">
            <v>1201</v>
          </cell>
          <cell r="B338" t="str">
            <v>BLISTERS</v>
          </cell>
          <cell r="C338" t="str">
            <v>PEPAS</v>
          </cell>
          <cell r="D338">
            <v>5600</v>
          </cell>
          <cell r="E338">
            <v>3400</v>
          </cell>
          <cell r="F338">
            <v>2790</v>
          </cell>
          <cell r="G338">
            <v>2890</v>
          </cell>
          <cell r="H338">
            <v>3060</v>
          </cell>
          <cell r="I338">
            <v>3230</v>
          </cell>
          <cell r="N338">
            <v>0</v>
          </cell>
        </row>
        <row r="339">
          <cell r="A339" t="str">
            <v>1202</v>
          </cell>
          <cell r="B339" t="str">
            <v>BLISTERS</v>
          </cell>
          <cell r="C339" t="str">
            <v>COPOS DE COCO</v>
          </cell>
          <cell r="D339">
            <v>7400</v>
          </cell>
          <cell r="E339">
            <v>4400</v>
          </cell>
          <cell r="F339">
            <v>3610</v>
          </cell>
          <cell r="G339">
            <v>3740</v>
          </cell>
          <cell r="H339">
            <v>3960</v>
          </cell>
          <cell r="I339">
            <v>4180</v>
          </cell>
          <cell r="N339">
            <v>0</v>
          </cell>
        </row>
        <row r="340">
          <cell r="A340" t="str">
            <v>1203</v>
          </cell>
          <cell r="B340" t="str">
            <v>BLISTERS</v>
          </cell>
          <cell r="C340" t="str">
            <v>PALMERITAS</v>
          </cell>
          <cell r="D340">
            <v>5600</v>
          </cell>
          <cell r="E340">
            <v>3400</v>
          </cell>
          <cell r="F340">
            <v>2790</v>
          </cell>
          <cell r="G340">
            <v>2890</v>
          </cell>
          <cell r="H340">
            <v>3060</v>
          </cell>
          <cell r="I340">
            <v>3230</v>
          </cell>
          <cell r="N340">
            <v>0</v>
          </cell>
        </row>
        <row r="341">
          <cell r="A341" t="str">
            <v>1204</v>
          </cell>
          <cell r="B341" t="str">
            <v>BLISTERS</v>
          </cell>
          <cell r="C341" t="str">
            <v>ALFAJORCITO MAICENA</v>
          </cell>
          <cell r="D341">
            <v>7400</v>
          </cell>
          <cell r="E341">
            <v>4400</v>
          </cell>
          <cell r="F341">
            <v>3610</v>
          </cell>
          <cell r="G341">
            <v>3740</v>
          </cell>
          <cell r="H341">
            <v>3960</v>
          </cell>
          <cell r="I341">
            <v>4180</v>
          </cell>
          <cell r="N341">
            <v>2304.6639323671498</v>
          </cell>
        </row>
        <row r="342">
          <cell r="A342" t="str">
            <v>1205</v>
          </cell>
          <cell r="B342" t="str">
            <v>BLISTERS</v>
          </cell>
          <cell r="C342" t="str">
            <v>ALFAJOR CHOCO</v>
          </cell>
          <cell r="D342">
            <v>7400</v>
          </cell>
          <cell r="E342">
            <v>4400</v>
          </cell>
          <cell r="F342">
            <v>3610</v>
          </cell>
          <cell r="G342">
            <v>3740</v>
          </cell>
          <cell r="H342">
            <v>3960</v>
          </cell>
          <cell r="I342">
            <v>4180</v>
          </cell>
          <cell r="N342">
            <v>0</v>
          </cell>
        </row>
        <row r="343">
          <cell r="A343" t="str">
            <v>1206</v>
          </cell>
          <cell r="B343" t="str">
            <v>BLISTERS</v>
          </cell>
          <cell r="C343" t="str">
            <v>PALMERAS CHOCO</v>
          </cell>
          <cell r="D343">
            <v>7400</v>
          </cell>
          <cell r="E343">
            <v>4400</v>
          </cell>
          <cell r="F343">
            <v>3610</v>
          </cell>
          <cell r="G343">
            <v>3740</v>
          </cell>
          <cell r="H343">
            <v>3960</v>
          </cell>
          <cell r="I343">
            <v>4180</v>
          </cell>
          <cell r="N343">
            <v>0</v>
          </cell>
        </row>
        <row r="344">
          <cell r="A344" t="str">
            <v>1207</v>
          </cell>
          <cell r="B344" t="str">
            <v>BLISTERS</v>
          </cell>
          <cell r="C344" t="str">
            <v>COPITOS CHOCO</v>
          </cell>
          <cell r="D344">
            <v>7400</v>
          </cell>
          <cell r="E344">
            <v>4400</v>
          </cell>
          <cell r="F344">
            <v>3610</v>
          </cell>
          <cell r="G344">
            <v>3740</v>
          </cell>
          <cell r="H344">
            <v>3960</v>
          </cell>
          <cell r="I344">
            <v>4180</v>
          </cell>
          <cell r="N344">
            <v>0</v>
          </cell>
        </row>
        <row r="345">
          <cell r="A345" t="str">
            <v>1208</v>
          </cell>
          <cell r="B345" t="str">
            <v>BLISTERS</v>
          </cell>
          <cell r="C345" t="str">
            <v>BROWNIE</v>
          </cell>
          <cell r="D345">
            <v>7400</v>
          </cell>
          <cell r="E345">
            <v>4400</v>
          </cell>
          <cell r="F345">
            <v>3610</v>
          </cell>
          <cell r="G345">
            <v>3740</v>
          </cell>
          <cell r="H345">
            <v>3960</v>
          </cell>
          <cell r="I345">
            <v>4180</v>
          </cell>
          <cell r="N345">
            <v>0</v>
          </cell>
        </row>
        <row r="346">
          <cell r="A346" t="str">
            <v>1209</v>
          </cell>
          <cell r="B346" t="str">
            <v>BLISTERS</v>
          </cell>
          <cell r="C346" t="str">
            <v>MASAS SECAS x 240kg</v>
          </cell>
          <cell r="D346">
            <v>7400</v>
          </cell>
          <cell r="E346">
            <v>4400</v>
          </cell>
          <cell r="F346">
            <v>3610</v>
          </cell>
          <cell r="G346">
            <v>3740</v>
          </cell>
          <cell r="H346">
            <v>3960</v>
          </cell>
          <cell r="I346">
            <v>4180</v>
          </cell>
          <cell r="N346">
            <v>553.11934376811587</v>
          </cell>
        </row>
        <row r="347">
          <cell r="A347" t="str">
            <v>1210</v>
          </cell>
          <cell r="B347" t="str">
            <v>BLISTERS</v>
          </cell>
          <cell r="C347" t="str">
            <v>BANDEJAS MASAS SECAS SALADAS</v>
          </cell>
          <cell r="D347">
            <v>7400</v>
          </cell>
          <cell r="E347">
            <v>4400</v>
          </cell>
          <cell r="F347">
            <v>3610</v>
          </cell>
          <cell r="G347">
            <v>3740</v>
          </cell>
          <cell r="H347">
            <v>3960</v>
          </cell>
          <cell r="I347">
            <v>4180</v>
          </cell>
          <cell r="N347">
            <v>0</v>
          </cell>
        </row>
        <row r="348">
          <cell r="A348" t="str">
            <v>1211</v>
          </cell>
          <cell r="B348" t="str">
            <v>BLISTERS</v>
          </cell>
          <cell r="C348" t="str">
            <v>MASAS FINAS KG</v>
          </cell>
          <cell r="D348">
            <v>60900</v>
          </cell>
          <cell r="E348">
            <v>36600</v>
          </cell>
          <cell r="F348">
            <v>30010</v>
          </cell>
          <cell r="G348">
            <v>31110</v>
          </cell>
          <cell r="H348">
            <v>32940</v>
          </cell>
          <cell r="I348">
            <v>34770</v>
          </cell>
          <cell r="N348">
            <v>5378.3487278156599</v>
          </cell>
        </row>
        <row r="349">
          <cell r="A349" t="str">
            <v>1212</v>
          </cell>
          <cell r="B349" t="str">
            <v>BLISTERS</v>
          </cell>
          <cell r="C349" t="str">
            <v>TARRITOS DE COOKIES</v>
          </cell>
          <cell r="D349">
            <v>7400</v>
          </cell>
          <cell r="E349">
            <v>4400</v>
          </cell>
          <cell r="F349">
            <v>3610</v>
          </cell>
          <cell r="G349">
            <v>3740</v>
          </cell>
          <cell r="H349">
            <v>3960</v>
          </cell>
          <cell r="I349">
            <v>4180</v>
          </cell>
          <cell r="N349">
            <v>0</v>
          </cell>
        </row>
        <row r="350">
          <cell r="A350" t="str">
            <v>1213</v>
          </cell>
          <cell r="B350" t="str">
            <v>BLISTERS</v>
          </cell>
          <cell r="C350" t="str">
            <v>ALFAJORCITOS DE PISTACHO X 12</v>
          </cell>
          <cell r="D350">
            <v>9100</v>
          </cell>
          <cell r="E350">
            <v>5500</v>
          </cell>
          <cell r="F350">
            <v>4510</v>
          </cell>
          <cell r="G350">
            <v>4680</v>
          </cell>
          <cell r="H350">
            <v>4950</v>
          </cell>
          <cell r="I350">
            <v>5230</v>
          </cell>
          <cell r="N350" t="str">
            <v/>
          </cell>
        </row>
        <row r="351">
          <cell r="A351" t="str">
            <v>1214</v>
          </cell>
          <cell r="B351" t="str">
            <v>BLISTERS</v>
          </cell>
          <cell r="C351" t="str">
            <v>ALFAJORCITOS DE NUEZ/ALMENDRA X 12</v>
          </cell>
          <cell r="D351">
            <v>7600</v>
          </cell>
          <cell r="E351">
            <v>4600</v>
          </cell>
          <cell r="F351">
            <v>6000</v>
          </cell>
          <cell r="G351">
            <v>6000</v>
          </cell>
          <cell r="H351">
            <v>4140</v>
          </cell>
          <cell r="I351">
            <v>4370</v>
          </cell>
          <cell r="N351" t="str">
            <v/>
          </cell>
        </row>
        <row r="352">
          <cell r="C352" t="str">
            <v>Budines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N352" t="str">
            <v/>
          </cell>
        </row>
        <row r="353">
          <cell r="A353" t="str">
            <v>1302</v>
          </cell>
          <cell r="B353" t="str">
            <v>BUDINES</v>
          </cell>
          <cell r="C353" t="str">
            <v>MUFFINS</v>
          </cell>
          <cell r="D353">
            <v>3200</v>
          </cell>
          <cell r="E353">
            <v>1900</v>
          </cell>
          <cell r="F353">
            <v>1560</v>
          </cell>
          <cell r="G353">
            <v>1620</v>
          </cell>
          <cell r="H353">
            <v>1710</v>
          </cell>
          <cell r="I353">
            <v>1810</v>
          </cell>
          <cell r="N353">
            <v>0</v>
          </cell>
        </row>
        <row r="354">
          <cell r="A354" t="str">
            <v>1303</v>
          </cell>
          <cell r="B354" t="str">
            <v>BUDINES</v>
          </cell>
          <cell r="C354" t="str">
            <v>BUDIN GRANDE MARMOLADO</v>
          </cell>
          <cell r="D354">
            <v>5600</v>
          </cell>
          <cell r="E354">
            <v>3400</v>
          </cell>
          <cell r="F354">
            <v>2790</v>
          </cell>
          <cell r="G354">
            <v>2890</v>
          </cell>
          <cell r="H354">
            <v>3060</v>
          </cell>
          <cell r="I354">
            <v>3230</v>
          </cell>
          <cell r="N354">
            <v>0</v>
          </cell>
        </row>
        <row r="355">
          <cell r="A355" t="str">
            <v>1304</v>
          </cell>
          <cell r="B355" t="str">
            <v>BUDINES</v>
          </cell>
          <cell r="C355" t="str">
            <v>PORCION BUDIN</v>
          </cell>
          <cell r="D355">
            <v>3200</v>
          </cell>
          <cell r="E355">
            <v>1900</v>
          </cell>
          <cell r="F355">
            <v>1560</v>
          </cell>
          <cell r="G355">
            <v>1620</v>
          </cell>
          <cell r="H355">
            <v>1710</v>
          </cell>
          <cell r="I355">
            <v>1810</v>
          </cell>
          <cell r="N355">
            <v>0</v>
          </cell>
        </row>
        <row r="356">
          <cell r="A356" t="str">
            <v>1305</v>
          </cell>
          <cell r="B356" t="str">
            <v>BUDINES</v>
          </cell>
          <cell r="C356" t="str">
            <v>BUDIN LIMON</v>
          </cell>
          <cell r="D356">
            <v>8300</v>
          </cell>
          <cell r="E356">
            <v>5000</v>
          </cell>
          <cell r="F356">
            <v>4100</v>
          </cell>
          <cell r="G356">
            <v>4250</v>
          </cell>
          <cell r="H356">
            <v>4500</v>
          </cell>
          <cell r="I356">
            <v>4750</v>
          </cell>
          <cell r="N356">
            <v>0</v>
          </cell>
        </row>
        <row r="357">
          <cell r="A357" t="str">
            <v>1306</v>
          </cell>
          <cell r="B357" t="str">
            <v>BUDINES</v>
          </cell>
          <cell r="C357" t="str">
            <v>BUDIN ALMACEN PAN X2</v>
          </cell>
          <cell r="D357">
            <v>15200</v>
          </cell>
          <cell r="E357">
            <v>9100</v>
          </cell>
          <cell r="F357">
            <v>7460</v>
          </cell>
          <cell r="G357">
            <v>7740</v>
          </cell>
          <cell r="H357">
            <v>8190</v>
          </cell>
          <cell r="I357">
            <v>8650</v>
          </cell>
          <cell r="N357">
            <v>0</v>
          </cell>
        </row>
        <row r="358">
          <cell r="A358" t="str">
            <v>1307</v>
          </cell>
          <cell r="B358" t="str">
            <v>BUDINES</v>
          </cell>
          <cell r="C358" t="str">
            <v>BUDIN GRANDE VAINILLA</v>
          </cell>
          <cell r="D358">
            <v>30000</v>
          </cell>
          <cell r="E358">
            <v>18000</v>
          </cell>
          <cell r="F358">
            <v>14760</v>
          </cell>
          <cell r="G358">
            <v>15300</v>
          </cell>
          <cell r="H358">
            <v>16200</v>
          </cell>
          <cell r="I358">
            <v>17100</v>
          </cell>
          <cell r="N358">
            <v>0</v>
          </cell>
        </row>
        <row r="359">
          <cell r="A359" t="str">
            <v>1308</v>
          </cell>
          <cell r="B359" t="str">
            <v>BUDINES</v>
          </cell>
          <cell r="C359" t="str">
            <v>BUDIN GRANDE LIMON</v>
          </cell>
          <cell r="D359">
            <v>30000</v>
          </cell>
          <cell r="E359">
            <v>18000</v>
          </cell>
          <cell r="F359">
            <v>14760</v>
          </cell>
          <cell r="G359">
            <v>15300</v>
          </cell>
          <cell r="H359">
            <v>16200</v>
          </cell>
          <cell r="I359">
            <v>17100</v>
          </cell>
          <cell r="N359">
            <v>0</v>
          </cell>
        </row>
        <row r="360">
          <cell r="A360" t="str">
            <v>1309</v>
          </cell>
          <cell r="B360" t="str">
            <v>BUDINES</v>
          </cell>
          <cell r="C360" t="str">
            <v>BUDIN NARANJA</v>
          </cell>
          <cell r="D360">
            <v>8300</v>
          </cell>
          <cell r="E360">
            <v>5000</v>
          </cell>
          <cell r="F360">
            <v>4100</v>
          </cell>
          <cell r="G360">
            <v>4250</v>
          </cell>
          <cell r="H360">
            <v>4500</v>
          </cell>
          <cell r="I360">
            <v>4750</v>
          </cell>
          <cell r="N360">
            <v>0</v>
          </cell>
        </row>
        <row r="361">
          <cell r="A361" t="str">
            <v>1310</v>
          </cell>
          <cell r="B361" t="str">
            <v>BUDINES</v>
          </cell>
          <cell r="C361" t="str">
            <v>BUDIN VAINILLA C/CHIPS</v>
          </cell>
          <cell r="D361">
            <v>8300</v>
          </cell>
          <cell r="E361">
            <v>5000</v>
          </cell>
          <cell r="F361">
            <v>4100</v>
          </cell>
          <cell r="G361">
            <v>4250</v>
          </cell>
          <cell r="H361">
            <v>4500</v>
          </cell>
          <cell r="I361">
            <v>4750</v>
          </cell>
          <cell r="N361">
            <v>0</v>
          </cell>
        </row>
        <row r="362">
          <cell r="A362" t="str">
            <v>1311</v>
          </cell>
          <cell r="B362" t="str">
            <v>BUDINES</v>
          </cell>
          <cell r="C362" t="str">
            <v>BUDIN VAINILLA C/ DDL</v>
          </cell>
          <cell r="D362">
            <v>8300</v>
          </cell>
          <cell r="E362">
            <v>5000</v>
          </cell>
          <cell r="F362">
            <v>4100</v>
          </cell>
          <cell r="G362">
            <v>4250</v>
          </cell>
          <cell r="H362">
            <v>4500</v>
          </cell>
          <cell r="I362">
            <v>4750</v>
          </cell>
          <cell r="N362">
            <v>0</v>
          </cell>
        </row>
        <row r="363">
          <cell r="A363" t="str">
            <v>1312</v>
          </cell>
          <cell r="B363" t="str">
            <v>BUDINES</v>
          </cell>
          <cell r="C363" t="str">
            <v>BUDIN MARMOLADO ( VAINILLA Y CHOCOLATE )</v>
          </cell>
          <cell r="D363">
            <v>8300</v>
          </cell>
          <cell r="E363">
            <v>5000</v>
          </cell>
          <cell r="F363">
            <v>4100</v>
          </cell>
          <cell r="G363">
            <v>4250</v>
          </cell>
          <cell r="H363">
            <v>4500</v>
          </cell>
          <cell r="I363">
            <v>4750</v>
          </cell>
          <cell r="N363">
            <v>0</v>
          </cell>
        </row>
        <row r="364">
          <cell r="A364" t="str">
            <v>1313</v>
          </cell>
          <cell r="B364" t="str">
            <v>BUDINES</v>
          </cell>
          <cell r="C364" t="str">
            <v>BUDIN CHOCOLATE</v>
          </cell>
          <cell r="D364">
            <v>8300</v>
          </cell>
          <cell r="E364">
            <v>5000</v>
          </cell>
          <cell r="F364">
            <v>4100</v>
          </cell>
          <cell r="G364">
            <v>4250</v>
          </cell>
          <cell r="H364">
            <v>4500</v>
          </cell>
          <cell r="I364">
            <v>4750</v>
          </cell>
          <cell r="N364">
            <v>0</v>
          </cell>
        </row>
        <row r="365">
          <cell r="A365" t="str">
            <v>1314</v>
          </cell>
          <cell r="B365" t="str">
            <v>BUDINES</v>
          </cell>
          <cell r="C365" t="str">
            <v>BUDIN VEGANO</v>
          </cell>
          <cell r="D365">
            <v>10300</v>
          </cell>
          <cell r="E365">
            <v>6200</v>
          </cell>
          <cell r="F365">
            <v>5080</v>
          </cell>
          <cell r="G365">
            <v>5270</v>
          </cell>
          <cell r="H365">
            <v>5580</v>
          </cell>
          <cell r="I365">
            <v>5890</v>
          </cell>
          <cell r="N365" t="str">
            <v/>
          </cell>
        </row>
        <row r="366">
          <cell r="A366" t="str">
            <v>1315</v>
          </cell>
          <cell r="B366" t="str">
            <v>BUDINES</v>
          </cell>
          <cell r="C366" t="str">
            <v>BUDIN INTEGRAL</v>
          </cell>
          <cell r="D366">
            <v>10300</v>
          </cell>
          <cell r="E366">
            <v>6200</v>
          </cell>
          <cell r="F366">
            <v>5080</v>
          </cell>
          <cell r="G366">
            <v>5270</v>
          </cell>
          <cell r="H366">
            <v>5580</v>
          </cell>
          <cell r="I366">
            <v>5890</v>
          </cell>
          <cell r="N366" t="str">
            <v/>
          </cell>
        </row>
        <row r="367">
          <cell r="A367" t="str">
            <v>1316</v>
          </cell>
          <cell r="B367" t="str">
            <v>BUDINES</v>
          </cell>
          <cell r="C367" t="str">
            <v>BUDIN SOLO FRUTAS SECAS</v>
          </cell>
          <cell r="D367">
            <v>8300</v>
          </cell>
          <cell r="E367">
            <v>5000</v>
          </cell>
          <cell r="F367">
            <v>4100</v>
          </cell>
          <cell r="G367">
            <v>4250</v>
          </cell>
          <cell r="H367">
            <v>4500</v>
          </cell>
          <cell r="I367">
            <v>4750</v>
          </cell>
          <cell r="N367" t="str">
            <v/>
          </cell>
        </row>
        <row r="368">
          <cell r="A368" t="str">
            <v>1317</v>
          </cell>
          <cell r="B368" t="str">
            <v>BUDINES</v>
          </cell>
          <cell r="C368" t="str">
            <v>BUDIN MANZANA</v>
          </cell>
          <cell r="D368">
            <v>10300</v>
          </cell>
          <cell r="E368">
            <v>6200</v>
          </cell>
          <cell r="F368">
            <v>5080</v>
          </cell>
          <cell r="G368">
            <v>5270</v>
          </cell>
          <cell r="H368">
            <v>5580</v>
          </cell>
          <cell r="I368">
            <v>5890</v>
          </cell>
          <cell r="N368" t="str">
            <v/>
          </cell>
        </row>
        <row r="369">
          <cell r="A369" t="str">
            <v>1318</v>
          </cell>
          <cell r="B369" t="str">
            <v>BUDINES</v>
          </cell>
          <cell r="C369" t="str">
            <v>BUDIN OREO</v>
          </cell>
          <cell r="D369">
            <v>10300</v>
          </cell>
          <cell r="E369">
            <v>6200</v>
          </cell>
          <cell r="F369">
            <v>5080</v>
          </cell>
          <cell r="G369">
            <v>5270</v>
          </cell>
          <cell r="H369">
            <v>5580</v>
          </cell>
          <cell r="I369">
            <v>5890</v>
          </cell>
          <cell r="N369" t="str">
            <v/>
          </cell>
        </row>
        <row r="370">
          <cell r="A370" t="str">
            <v>1319</v>
          </cell>
          <cell r="B370" t="str">
            <v>BUDINES</v>
          </cell>
          <cell r="C370" t="str">
            <v>BUDIN  PISTACHO</v>
          </cell>
          <cell r="D370">
            <v>10300</v>
          </cell>
          <cell r="E370">
            <v>6200</v>
          </cell>
          <cell r="F370">
            <v>5080</v>
          </cell>
          <cell r="G370">
            <v>5270</v>
          </cell>
          <cell r="H370">
            <v>5580</v>
          </cell>
          <cell r="I370">
            <v>5890</v>
          </cell>
          <cell r="N370" t="str">
            <v/>
          </cell>
        </row>
        <row r="371">
          <cell r="A371" t="str">
            <v>1320</v>
          </cell>
          <cell r="B371" t="str">
            <v>BUDINES</v>
          </cell>
          <cell r="C371" t="str">
            <v>BUDIN VEGANO MANZANA</v>
          </cell>
          <cell r="D371">
            <v>7600</v>
          </cell>
          <cell r="E371">
            <v>4600</v>
          </cell>
          <cell r="F371">
            <v>3770</v>
          </cell>
          <cell r="G371">
            <v>3910</v>
          </cell>
          <cell r="H371">
            <v>4140</v>
          </cell>
          <cell r="I371">
            <v>4370</v>
          </cell>
          <cell r="N371" t="str">
            <v/>
          </cell>
        </row>
        <row r="372">
          <cell r="A372" t="str">
            <v>1321</v>
          </cell>
          <cell r="B372" t="str">
            <v>BUDINES</v>
          </cell>
          <cell r="C372" t="str">
            <v>BUDIN VEGANO FRUTOS DEL BOSQUE</v>
          </cell>
          <cell r="D372">
            <v>7600</v>
          </cell>
          <cell r="E372">
            <v>4600</v>
          </cell>
          <cell r="F372">
            <v>3770</v>
          </cell>
          <cell r="G372">
            <v>3910</v>
          </cell>
          <cell r="H372">
            <v>4140</v>
          </cell>
          <cell r="I372">
            <v>4370</v>
          </cell>
          <cell r="N372" t="str">
            <v/>
          </cell>
        </row>
        <row r="373">
          <cell r="A373" t="str">
            <v>1322</v>
          </cell>
          <cell r="B373" t="str">
            <v>BUDINES</v>
          </cell>
          <cell r="C373" t="str">
            <v>BUDIN CARROT CAKE ENTERO</v>
          </cell>
          <cell r="D373">
            <v>0</v>
          </cell>
          <cell r="E373">
            <v>32620</v>
          </cell>
          <cell r="F373">
            <v>26750</v>
          </cell>
          <cell r="G373">
            <v>27730</v>
          </cell>
          <cell r="H373">
            <v>29360</v>
          </cell>
          <cell r="I373">
            <v>30990</v>
          </cell>
          <cell r="N373" t="str">
            <v/>
          </cell>
        </row>
        <row r="374">
          <cell r="A374" t="str">
            <v>1323</v>
          </cell>
          <cell r="B374" t="str">
            <v>BUDINES</v>
          </cell>
          <cell r="C374" t="str">
            <v>BUDIN GRANDE MANZANA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N374" t="str">
            <v/>
          </cell>
        </row>
        <row r="375">
          <cell r="A375" t="str">
            <v>1324</v>
          </cell>
          <cell r="B375" t="str">
            <v>BUDINES</v>
          </cell>
          <cell r="C375" t="str">
            <v>BUDIN GRANDE CHOCOLATE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N375" t="str">
            <v/>
          </cell>
        </row>
        <row r="376">
          <cell r="A376" t="str">
            <v>1325</v>
          </cell>
          <cell r="B376" t="str">
            <v>BUDINES</v>
          </cell>
          <cell r="C376" t="str">
            <v>BUDIN GRANDE LIMON C/AMAPOLAS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N376" t="str">
            <v/>
          </cell>
        </row>
        <row r="377">
          <cell r="C377" t="str">
            <v>PAN DULCE - ROSCA - VIENENSAS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N377" t="str">
            <v/>
          </cell>
        </row>
        <row r="378">
          <cell r="A378" t="str">
            <v>1401</v>
          </cell>
          <cell r="B378" t="str">
            <v>PAN DULCE</v>
          </cell>
          <cell r="C378" t="str">
            <v>PAN DULCE X PESO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N378">
            <v>0</v>
          </cell>
        </row>
        <row r="379">
          <cell r="A379" t="str">
            <v>1402</v>
          </cell>
          <cell r="B379" t="str">
            <v>PAN DULCE</v>
          </cell>
          <cell r="C379" t="str">
            <v>PAN DULCE CON CHIPS REP 1/2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N379">
            <v>1437.7762444444445</v>
          </cell>
        </row>
        <row r="380">
          <cell r="A380" t="str">
            <v>1404</v>
          </cell>
          <cell r="B380" t="str">
            <v>PAN DULCE</v>
          </cell>
          <cell r="C380" t="str">
            <v>PANETONE REPARTO X KG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N380">
            <v>2765.6785521885522</v>
          </cell>
        </row>
        <row r="381">
          <cell r="A381" t="str">
            <v>1406</v>
          </cell>
          <cell r="B381" t="str">
            <v>PAN DULCE</v>
          </cell>
          <cell r="C381" t="str">
            <v>PAN DULCE SOLO FRUTAS SECAS REP X 1/2 KG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N381" t="str">
            <v/>
          </cell>
        </row>
        <row r="382">
          <cell r="A382" t="str">
            <v>1407</v>
          </cell>
          <cell r="B382" t="str">
            <v>PAN DULCE</v>
          </cell>
          <cell r="C382" t="str">
            <v>PAN DULCE TODAS LAS FRUTAS REP X 1/2 KG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N382" t="str">
            <v/>
          </cell>
        </row>
        <row r="383">
          <cell r="A383" t="str">
            <v>1408</v>
          </cell>
          <cell r="B383" t="str">
            <v>ROSCA</v>
          </cell>
          <cell r="C383" t="str">
            <v>ROSCA DE PASCUA X UNI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N383" t="str">
            <v/>
          </cell>
        </row>
        <row r="384">
          <cell r="A384" t="str">
            <v>1409</v>
          </cell>
          <cell r="B384" t="str">
            <v>ROSCA</v>
          </cell>
          <cell r="C384" t="str">
            <v>ROSCA DE ALMENDRA X UNIDAD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L384" t="str">
            <v/>
          </cell>
          <cell r="N384" t="str">
            <v/>
          </cell>
        </row>
        <row r="385">
          <cell r="A385" t="str">
            <v>1410</v>
          </cell>
          <cell r="B385" t="str">
            <v>VIENESA</v>
          </cell>
          <cell r="C385" t="str">
            <v>VIENESA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L385" t="str">
            <v/>
          </cell>
          <cell r="N385" t="str">
            <v/>
          </cell>
        </row>
        <row r="386">
          <cell r="A386" t="str">
            <v>1411</v>
          </cell>
          <cell r="B386" t="str">
            <v>PAN DULCE</v>
          </cell>
          <cell r="C386" t="str">
            <v>PANETONE ROCHA PAN X KG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L386" t="str">
            <v/>
          </cell>
          <cell r="N386" t="str">
            <v/>
          </cell>
        </row>
        <row r="387">
          <cell r="A387" t="str">
            <v>1412</v>
          </cell>
          <cell r="B387" t="str">
            <v>PAN DULCE</v>
          </cell>
          <cell r="C387" t="str">
            <v>PAN DULCE CON CHIPS ROCHA PAN 1/2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L387" t="str">
            <v/>
          </cell>
          <cell r="N387" t="str">
            <v/>
          </cell>
        </row>
        <row r="388">
          <cell r="A388" t="str">
            <v>1413</v>
          </cell>
          <cell r="B388" t="str">
            <v>PAN DULCE</v>
          </cell>
          <cell r="C388" t="str">
            <v>PAN DULCE SOLO FRUTAS SECAS ROCHA PAN X 1/2 KG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L388" t="str">
            <v/>
          </cell>
          <cell r="N388" t="str">
            <v/>
          </cell>
        </row>
        <row r="389">
          <cell r="A389" t="str">
            <v>1414</v>
          </cell>
          <cell r="B389" t="str">
            <v>PAN DULCE</v>
          </cell>
          <cell r="C389" t="str">
            <v>PAN DULCE TODAS LAS FRUTAS ROCHA PAN X 1/2 KG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L389" t="str">
            <v/>
          </cell>
          <cell r="N389" t="str">
            <v/>
          </cell>
        </row>
        <row r="390">
          <cell r="C390" t="str">
            <v>ALFAJORES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L390" t="str">
            <v/>
          </cell>
          <cell r="N390" t="str">
            <v/>
          </cell>
        </row>
        <row r="391">
          <cell r="A391" t="str">
            <v>1501</v>
          </cell>
          <cell r="B391" t="str">
            <v>ALFAJORES</v>
          </cell>
          <cell r="C391" t="str">
            <v>NEGRO</v>
          </cell>
          <cell r="D391">
            <v>4500</v>
          </cell>
          <cell r="E391">
            <v>2800</v>
          </cell>
          <cell r="F391">
            <v>2300</v>
          </cell>
          <cell r="G391">
            <v>2380</v>
          </cell>
          <cell r="H391">
            <v>2520</v>
          </cell>
          <cell r="I391">
            <v>2660</v>
          </cell>
          <cell r="L391" t="str">
            <v/>
          </cell>
          <cell r="N391">
            <v>0</v>
          </cell>
        </row>
        <row r="392">
          <cell r="A392" t="str">
            <v>1502</v>
          </cell>
          <cell r="B392" t="str">
            <v>ALFAJORES</v>
          </cell>
          <cell r="C392" t="str">
            <v xml:space="preserve">MAICENA </v>
          </cell>
          <cell r="D392">
            <v>4500</v>
          </cell>
          <cell r="E392">
            <v>2800</v>
          </cell>
          <cell r="F392">
            <v>2300</v>
          </cell>
          <cell r="G392">
            <v>2380</v>
          </cell>
          <cell r="H392">
            <v>2520</v>
          </cell>
          <cell r="I392">
            <v>2660</v>
          </cell>
          <cell r="L392" t="str">
            <v/>
          </cell>
          <cell r="N392">
            <v>0</v>
          </cell>
        </row>
        <row r="393">
          <cell r="A393" t="str">
            <v>1503</v>
          </cell>
          <cell r="B393" t="str">
            <v>ALFAJORES</v>
          </cell>
          <cell r="C393" t="str">
            <v>TUBITOS MAICENA COOKIES</v>
          </cell>
          <cell r="D393">
            <v>4700</v>
          </cell>
          <cell r="E393">
            <v>2900</v>
          </cell>
          <cell r="F393">
            <v>2380</v>
          </cell>
          <cell r="G393">
            <v>2470</v>
          </cell>
          <cell r="H393">
            <v>2610</v>
          </cell>
          <cell r="I393">
            <v>2760</v>
          </cell>
          <cell r="L393" t="str">
            <v/>
          </cell>
          <cell r="N393">
            <v>789.79202222222216</v>
          </cell>
        </row>
        <row r="394">
          <cell r="A394" t="str">
            <v>1504</v>
          </cell>
          <cell r="B394" t="str">
            <v>ALFAJORES</v>
          </cell>
          <cell r="C394" t="str">
            <v>TUBITOS ALMACEN PAN MAICENA</v>
          </cell>
          <cell r="D394">
            <v>4700</v>
          </cell>
          <cell r="E394">
            <v>2900</v>
          </cell>
          <cell r="F394">
            <v>2380</v>
          </cell>
          <cell r="G394">
            <v>2470</v>
          </cell>
          <cell r="H394">
            <v>2610</v>
          </cell>
          <cell r="I394">
            <v>2760</v>
          </cell>
          <cell r="L394" t="str">
            <v/>
          </cell>
          <cell r="N394">
            <v>599.39675952380958</v>
          </cell>
        </row>
        <row r="395">
          <cell r="A395" t="str">
            <v>1505</v>
          </cell>
          <cell r="B395" t="str">
            <v>ALFAJORES</v>
          </cell>
          <cell r="C395" t="str">
            <v>COCO/ NEGRO/NUEZ GRANDES/NUTELLA</v>
          </cell>
          <cell r="D395">
            <v>5600</v>
          </cell>
          <cell r="E395">
            <v>3300</v>
          </cell>
          <cell r="F395">
            <v>2710</v>
          </cell>
          <cell r="G395">
            <v>2810</v>
          </cell>
          <cell r="H395">
            <v>2970</v>
          </cell>
          <cell r="I395">
            <v>3140</v>
          </cell>
          <cell r="L395" t="str">
            <v/>
          </cell>
          <cell r="N395">
            <v>789.79202222222216</v>
          </cell>
        </row>
        <row r="396">
          <cell r="A396" t="str">
            <v>1506</v>
          </cell>
          <cell r="B396" t="str">
            <v>ALFAJORES</v>
          </cell>
          <cell r="C396" t="str">
            <v>ALFAJOR PISTACHO Y DDL</v>
          </cell>
          <cell r="D396">
            <v>6200</v>
          </cell>
          <cell r="E396">
            <v>3700</v>
          </cell>
          <cell r="F396">
            <v>3030</v>
          </cell>
          <cell r="G396">
            <v>3150</v>
          </cell>
          <cell r="H396">
            <v>3330</v>
          </cell>
          <cell r="I396">
            <v>3520</v>
          </cell>
          <cell r="L396" t="str">
            <v/>
          </cell>
          <cell r="N396" t="str">
            <v/>
          </cell>
        </row>
        <row r="397">
          <cell r="A397" t="str">
            <v>1507</v>
          </cell>
          <cell r="B397" t="str">
            <v>ALFAJORES</v>
          </cell>
          <cell r="C397" t="str">
            <v>ALFAJOR PISTACHO Y MERMELADA</v>
          </cell>
          <cell r="D397">
            <v>6200</v>
          </cell>
          <cell r="E397">
            <v>3700</v>
          </cell>
          <cell r="F397">
            <v>3030</v>
          </cell>
          <cell r="G397">
            <v>3150</v>
          </cell>
          <cell r="H397">
            <v>3330</v>
          </cell>
          <cell r="I397">
            <v>3520</v>
          </cell>
          <cell r="L397" t="str">
            <v/>
          </cell>
          <cell r="N397" t="str">
            <v/>
          </cell>
        </row>
        <row r="398">
          <cell r="A398" t="str">
            <v>1508</v>
          </cell>
          <cell r="B398" t="str">
            <v>ALFAJORES</v>
          </cell>
          <cell r="C398" t="str">
            <v xml:space="preserve">ALFAJOR MARIANA MAICENA/MEMBRILLO </v>
          </cell>
          <cell r="D398">
            <v>3300</v>
          </cell>
          <cell r="E398">
            <v>2000</v>
          </cell>
          <cell r="F398">
            <v>1640</v>
          </cell>
          <cell r="G398">
            <v>1700</v>
          </cell>
          <cell r="H398">
            <v>1800</v>
          </cell>
          <cell r="I398">
            <v>1900</v>
          </cell>
          <cell r="L398" t="str">
            <v/>
          </cell>
          <cell r="N398" t="str">
            <v/>
          </cell>
        </row>
        <row r="399">
          <cell r="A399" t="str">
            <v>1509</v>
          </cell>
          <cell r="B399" t="str">
            <v>ALFAJORES</v>
          </cell>
          <cell r="C399" t="str">
            <v>ALFAJOR MARIANA SIMPLE NEGRO/ BLANCO</v>
          </cell>
          <cell r="D399">
            <v>3400</v>
          </cell>
          <cell r="E399">
            <v>2100</v>
          </cell>
          <cell r="F399">
            <v>1720</v>
          </cell>
          <cell r="G399">
            <v>1790</v>
          </cell>
          <cell r="H399">
            <v>1890</v>
          </cell>
          <cell r="I399">
            <v>2000</v>
          </cell>
          <cell r="L399" t="str">
            <v/>
          </cell>
          <cell r="N399" t="str">
            <v/>
          </cell>
        </row>
        <row r="400">
          <cell r="A400" t="str">
            <v>1510</v>
          </cell>
          <cell r="B400" t="str">
            <v>ALFAJORES</v>
          </cell>
          <cell r="C400" t="str">
            <v>ALFAJOR MARIANA CORAZON FAMBRUESA/MANI</v>
          </cell>
          <cell r="D400">
            <v>3400</v>
          </cell>
          <cell r="E400">
            <v>2100</v>
          </cell>
          <cell r="F400">
            <v>1720</v>
          </cell>
          <cell r="G400">
            <v>1790</v>
          </cell>
          <cell r="H400">
            <v>1890</v>
          </cell>
          <cell r="I400">
            <v>2000</v>
          </cell>
          <cell r="L400" t="str">
            <v/>
          </cell>
          <cell r="N400" t="str">
            <v/>
          </cell>
        </row>
        <row r="401">
          <cell r="A401" t="str">
            <v>1511</v>
          </cell>
          <cell r="B401" t="str">
            <v>ALFAJORES</v>
          </cell>
          <cell r="C401" t="str">
            <v>ALFAJOR MARIANA TRIPLE NEGRO/ BLANCO</v>
          </cell>
          <cell r="D401">
            <v>5200</v>
          </cell>
          <cell r="E401">
            <v>3200</v>
          </cell>
          <cell r="F401">
            <v>2620</v>
          </cell>
          <cell r="G401">
            <v>2720</v>
          </cell>
          <cell r="H401">
            <v>2880</v>
          </cell>
          <cell r="I401">
            <v>3040</v>
          </cell>
          <cell r="L401" t="str">
            <v/>
          </cell>
          <cell r="N401" t="str">
            <v/>
          </cell>
        </row>
        <row r="402">
          <cell r="C402" t="str">
            <v>PASTELITOS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L402" t="str">
            <v/>
          </cell>
          <cell r="N402" t="str">
            <v/>
          </cell>
        </row>
        <row r="403">
          <cell r="A403" t="str">
            <v>1601</v>
          </cell>
          <cell r="B403" t="str">
            <v>PASTELITOS</v>
          </cell>
          <cell r="C403" t="str">
            <v>PASTELITOS</v>
          </cell>
          <cell r="D403">
            <v>2900</v>
          </cell>
          <cell r="E403">
            <v>1900</v>
          </cell>
          <cell r="F403">
            <v>1560</v>
          </cell>
          <cell r="G403">
            <v>1620</v>
          </cell>
          <cell r="H403">
            <v>1710</v>
          </cell>
          <cell r="I403">
            <v>1810</v>
          </cell>
          <cell r="L403" t="str">
            <v/>
          </cell>
          <cell r="N403">
            <v>0</v>
          </cell>
        </row>
        <row r="404">
          <cell r="A404" t="str">
            <v>1602</v>
          </cell>
          <cell r="B404" t="str">
            <v>PASTELITOS</v>
          </cell>
          <cell r="C404" t="str">
            <v>PASTELITOS X12</v>
          </cell>
          <cell r="D404">
            <v>30300</v>
          </cell>
          <cell r="E404">
            <v>22800</v>
          </cell>
          <cell r="F404">
            <v>18700</v>
          </cell>
          <cell r="G404">
            <v>19380</v>
          </cell>
          <cell r="H404">
            <v>20520</v>
          </cell>
          <cell r="I404">
            <v>21660</v>
          </cell>
          <cell r="L404" t="str">
            <v/>
          </cell>
          <cell r="N404">
            <v>0</v>
          </cell>
        </row>
        <row r="405">
          <cell r="C405" t="str">
            <v>CAFETERIA PARA LLEVAR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L405" t="str">
            <v/>
          </cell>
          <cell r="N405" t="str">
            <v/>
          </cell>
        </row>
        <row r="406">
          <cell r="A406" t="str">
            <v>1701</v>
          </cell>
          <cell r="B406" t="str">
            <v>CAFETERIA PARA LLEVAR</v>
          </cell>
          <cell r="C406" t="str">
            <v>CAFETERIA PARA LLEVAR SOLO</v>
          </cell>
          <cell r="D406">
            <v>4700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L406" t="str">
            <v/>
          </cell>
          <cell r="N406">
            <v>0</v>
          </cell>
        </row>
        <row r="407">
          <cell r="A407" t="str">
            <v>1702</v>
          </cell>
          <cell r="B407" t="str">
            <v>CAFETERIA PARA LLEVAR</v>
          </cell>
          <cell r="C407" t="str">
            <v>CAFETERIA PARA LLEVAR SOLO GRANDE</v>
          </cell>
          <cell r="D407">
            <v>5500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L407" t="str">
            <v/>
          </cell>
          <cell r="N407">
            <v>0</v>
          </cell>
        </row>
        <row r="408">
          <cell r="A408" t="str">
            <v>1703</v>
          </cell>
          <cell r="B408" t="str">
            <v>CAFETERIA PARA LLEVAR</v>
          </cell>
          <cell r="C408" t="str">
            <v>CAFETERIA PARA LLEVAR PROMO 3 MEDIAS LUN O 2 FACTURAS</v>
          </cell>
          <cell r="D408">
            <v>7300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L408" t="str">
            <v/>
          </cell>
          <cell r="N408">
            <v>0</v>
          </cell>
        </row>
        <row r="409">
          <cell r="A409" t="str">
            <v>1704</v>
          </cell>
          <cell r="B409" t="str">
            <v>CAFETERIA PARA LLEVAR</v>
          </cell>
          <cell r="C409" t="str">
            <v>CAFETERIA PARA LLEVAR PROMO 3 MEDIAS LUN O 2 FACTURAS GRANDE</v>
          </cell>
          <cell r="D409">
            <v>7700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L409" t="str">
            <v/>
          </cell>
          <cell r="N409">
            <v>0</v>
          </cell>
        </row>
        <row r="410">
          <cell r="A410" t="str">
            <v>1705</v>
          </cell>
          <cell r="B410" t="str">
            <v>CAFETERIA PARA LLEVAR</v>
          </cell>
          <cell r="C410" t="str">
            <v>TE CON LECHE SOLO</v>
          </cell>
          <cell r="D410">
            <v>2900</v>
          </cell>
          <cell r="E410">
            <v>9000</v>
          </cell>
          <cell r="F410">
            <v>7380</v>
          </cell>
          <cell r="G410">
            <v>7650</v>
          </cell>
          <cell r="H410">
            <v>8100</v>
          </cell>
          <cell r="I410">
            <v>8550</v>
          </cell>
          <cell r="L410" t="str">
            <v/>
          </cell>
          <cell r="N410">
            <v>0</v>
          </cell>
        </row>
        <row r="411">
          <cell r="A411" t="str">
            <v>1706+A1:D400</v>
          </cell>
          <cell r="B411" t="str">
            <v>CAFETERIA PARA LLEVAR</v>
          </cell>
          <cell r="C411" t="str">
            <v>TE CON LECHE SOLO MAS 3 FACTURAS</v>
          </cell>
          <cell r="D411">
            <v>4700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L411" t="str">
            <v/>
          </cell>
          <cell r="N411" t="str">
            <v/>
          </cell>
        </row>
        <row r="412">
          <cell r="C412" t="str">
            <v>REGALO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L412" t="str">
            <v/>
          </cell>
          <cell r="N412" t="str">
            <v/>
          </cell>
        </row>
        <row r="413">
          <cell r="A413" t="str">
            <v>1801</v>
          </cell>
          <cell r="B413" t="str">
            <v>REGALO</v>
          </cell>
          <cell r="C413" t="str">
            <v>BOX CUMPLE GRANDE</v>
          </cell>
          <cell r="D413">
            <v>38600</v>
          </cell>
          <cell r="E413">
            <v>25400</v>
          </cell>
          <cell r="F413">
            <v>20830</v>
          </cell>
          <cell r="G413">
            <v>21590</v>
          </cell>
          <cell r="H413">
            <v>22860</v>
          </cell>
          <cell r="I413">
            <v>24130</v>
          </cell>
          <cell r="L413" t="str">
            <v/>
          </cell>
          <cell r="N413">
            <v>0</v>
          </cell>
        </row>
        <row r="414">
          <cell r="A414" t="str">
            <v>1802</v>
          </cell>
          <cell r="B414" t="str">
            <v>REGALO</v>
          </cell>
          <cell r="C414" t="str">
            <v>BOX CUMPLE CHICO</v>
          </cell>
          <cell r="D414">
            <v>30300</v>
          </cell>
          <cell r="E414">
            <v>19100</v>
          </cell>
          <cell r="F414">
            <v>15660</v>
          </cell>
          <cell r="G414">
            <v>16240</v>
          </cell>
          <cell r="H414">
            <v>17190</v>
          </cell>
          <cell r="I414">
            <v>18150</v>
          </cell>
          <cell r="L414" t="str">
            <v/>
          </cell>
          <cell r="N414">
            <v>0</v>
          </cell>
        </row>
        <row r="415">
          <cell r="C415" t="str">
            <v>GASEOSAS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L415" t="str">
            <v/>
          </cell>
          <cell r="N415" t="str">
            <v/>
          </cell>
        </row>
        <row r="416">
          <cell r="A416" t="str">
            <v>2001</v>
          </cell>
          <cell r="B416" t="str">
            <v>GASEOSAS</v>
          </cell>
          <cell r="C416" t="str">
            <v>LATA LINEA COCA</v>
          </cell>
          <cell r="D416">
            <v>3100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L416" t="str">
            <v/>
          </cell>
          <cell r="N416" t="str">
            <v/>
          </cell>
        </row>
        <row r="417">
          <cell r="A417" t="str">
            <v>2002</v>
          </cell>
          <cell r="B417" t="str">
            <v>GASEOSAS</v>
          </cell>
          <cell r="C417" t="str">
            <v xml:space="preserve">LINEA COCA 500 </v>
          </cell>
          <cell r="D417">
            <v>3100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L417" t="str">
            <v/>
          </cell>
          <cell r="N417">
            <v>1186.2133333333334</v>
          </cell>
        </row>
        <row r="418">
          <cell r="A418" t="str">
            <v>2003</v>
          </cell>
          <cell r="B418" t="str">
            <v>GASEOSAS</v>
          </cell>
          <cell r="C418" t="str">
            <v>LINEA COCA 1,75</v>
          </cell>
          <cell r="D418">
            <v>5200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L418" t="str">
            <v/>
          </cell>
          <cell r="N418">
            <v>2827.1287499999999</v>
          </cell>
        </row>
        <row r="419">
          <cell r="A419" t="str">
            <v>2004</v>
          </cell>
          <cell r="B419" t="str">
            <v>GASEOSAS</v>
          </cell>
          <cell r="C419" t="str">
            <v>LATA LINEA PEPSI</v>
          </cell>
          <cell r="D419">
            <v>3100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L419" t="str">
            <v/>
          </cell>
          <cell r="N419">
            <v>942.98958333333337</v>
          </cell>
        </row>
        <row r="420">
          <cell r="A420" t="str">
            <v>2005</v>
          </cell>
          <cell r="B420" t="str">
            <v>GASEOSAS</v>
          </cell>
          <cell r="C420" t="str">
            <v>LINEA PEPSI 1,500</v>
          </cell>
          <cell r="D420">
            <v>5200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L420" t="str">
            <v/>
          </cell>
          <cell r="N420">
            <v>1796.3966666666665</v>
          </cell>
        </row>
        <row r="421">
          <cell r="A421" t="str">
            <v>2008</v>
          </cell>
          <cell r="B421" t="str">
            <v>GASEOSAS</v>
          </cell>
          <cell r="C421" t="str">
            <v>LINEA PEPSI 500</v>
          </cell>
          <cell r="D421">
            <v>3100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L421" t="str">
            <v/>
          </cell>
          <cell r="N421">
            <v>1137.855</v>
          </cell>
        </row>
        <row r="422">
          <cell r="A422" t="str">
            <v>2026</v>
          </cell>
          <cell r="B422" t="str">
            <v>GASEOSAS</v>
          </cell>
          <cell r="C422" t="str">
            <v>LINEA PEPSI X 1 LITRO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L422" t="str">
            <v/>
          </cell>
          <cell r="N422" t="str">
            <v/>
          </cell>
        </row>
        <row r="423">
          <cell r="A423" t="str">
            <v>2023</v>
          </cell>
          <cell r="B423" t="str">
            <v>GASEOSAS</v>
          </cell>
          <cell r="C423" t="str">
            <v xml:space="preserve">PEPSI PETIT </v>
          </cell>
          <cell r="D423">
            <v>2100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L423" t="str">
            <v/>
          </cell>
          <cell r="N423">
            <v>0</v>
          </cell>
        </row>
        <row r="424">
          <cell r="A424" t="str">
            <v>2006</v>
          </cell>
          <cell r="B424" t="str">
            <v>GASEOSAS</v>
          </cell>
          <cell r="C424" t="str">
            <v>AGUA NESTLE X 500</v>
          </cell>
          <cell r="D424">
            <v>2100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L424" t="str">
            <v/>
          </cell>
          <cell r="N424">
            <v>1201.8625</v>
          </cell>
        </row>
        <row r="425">
          <cell r="A425" t="str">
            <v>2007</v>
          </cell>
          <cell r="B425" t="str">
            <v>GASEOSAS</v>
          </cell>
          <cell r="C425" t="str">
            <v>AGUA NESTLE X 1,500</v>
          </cell>
          <cell r="D425">
            <v>4500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L425" t="str">
            <v/>
          </cell>
          <cell r="N425">
            <v>1406.0333333333335</v>
          </cell>
        </row>
        <row r="426">
          <cell r="A426" t="str">
            <v>2020</v>
          </cell>
          <cell r="B426" t="str">
            <v>GASEOSAS</v>
          </cell>
          <cell r="C426" t="str">
            <v>AGUA SMART X 500</v>
          </cell>
          <cell r="D426">
            <v>2100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L426" t="str">
            <v/>
          </cell>
          <cell r="N426">
            <v>887.70333333333338</v>
          </cell>
        </row>
        <row r="427">
          <cell r="A427" t="str">
            <v>2021</v>
          </cell>
          <cell r="B427" t="str">
            <v>GASEOSAS</v>
          </cell>
          <cell r="C427" t="str">
            <v>AGUA SMART X 1,500</v>
          </cell>
          <cell r="D427">
            <v>3400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L427" t="str">
            <v/>
          </cell>
          <cell r="N427">
            <v>1309.7166666666667</v>
          </cell>
        </row>
        <row r="428">
          <cell r="A428" t="str">
            <v>2024</v>
          </cell>
          <cell r="B428" t="str">
            <v>GASEOSAS</v>
          </cell>
          <cell r="C428" t="str">
            <v>AGUA ECO DE LOS ANDES 850 CC</v>
          </cell>
          <cell r="D428">
            <v>3300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L428" t="str">
            <v/>
          </cell>
          <cell r="N428">
            <v>0</v>
          </cell>
        </row>
        <row r="429">
          <cell r="A429" t="str">
            <v>2017</v>
          </cell>
          <cell r="B429" t="str">
            <v>GASEOSAS</v>
          </cell>
          <cell r="C429" t="str">
            <v>PLACER X 500</v>
          </cell>
          <cell r="D429">
            <v>2300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L429" t="str">
            <v/>
          </cell>
          <cell r="N429">
            <v>12</v>
          </cell>
        </row>
        <row r="430">
          <cell r="A430" t="str">
            <v>2018</v>
          </cell>
          <cell r="B430" t="str">
            <v>GASEOSAS</v>
          </cell>
          <cell r="C430" t="str">
            <v>PLACER X 1,500</v>
          </cell>
          <cell r="D430">
            <v>4500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L430" t="str">
            <v/>
          </cell>
          <cell r="N430">
            <v>0</v>
          </cell>
        </row>
        <row r="431">
          <cell r="A431" t="str">
            <v>2009</v>
          </cell>
          <cell r="B431" t="str">
            <v>GASEOSAS</v>
          </cell>
          <cell r="C431" t="str">
            <v>BAGGIO FRESH X 600</v>
          </cell>
          <cell r="D431">
            <v>3100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L431" t="str">
            <v/>
          </cell>
          <cell r="N431">
            <v>593.09875</v>
          </cell>
        </row>
        <row r="432">
          <cell r="A432" t="str">
            <v>2010</v>
          </cell>
          <cell r="B432" t="str">
            <v>GASEOSAS</v>
          </cell>
          <cell r="C432" t="str">
            <v>BAGGIO FRESH X 1,500</v>
          </cell>
          <cell r="D432">
            <v>4500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L432" t="str">
            <v/>
          </cell>
          <cell r="N432">
            <v>1730</v>
          </cell>
        </row>
        <row r="433">
          <cell r="A433" t="str">
            <v>2011</v>
          </cell>
          <cell r="B433" t="str">
            <v>GASEOSAS</v>
          </cell>
          <cell r="C433" t="str">
            <v>BAGGIO CHICO</v>
          </cell>
          <cell r="D433">
            <v>2100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L433" t="str">
            <v/>
          </cell>
          <cell r="N433">
            <v>941.1</v>
          </cell>
        </row>
        <row r="434">
          <cell r="A434" t="str">
            <v>2012</v>
          </cell>
          <cell r="B434" t="str">
            <v>GASEOSAS</v>
          </cell>
          <cell r="C434" t="str">
            <v>BAGGIO GRANDE X 1LT</v>
          </cell>
          <cell r="D434">
            <v>5200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L434" t="str">
            <v/>
          </cell>
          <cell r="N434">
            <v>718.84899999999993</v>
          </cell>
        </row>
        <row r="435">
          <cell r="A435" t="str">
            <v>2025</v>
          </cell>
          <cell r="B435" t="str">
            <v>GASEOSAS</v>
          </cell>
          <cell r="C435" t="str">
            <v>JUGOS ESTANCIAS</v>
          </cell>
          <cell r="D435">
            <v>4300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L435" t="str">
            <v/>
          </cell>
          <cell r="N435">
            <v>0</v>
          </cell>
        </row>
        <row r="436">
          <cell r="A436" t="str">
            <v>2013</v>
          </cell>
          <cell r="B436" t="str">
            <v>GASEOSAS</v>
          </cell>
          <cell r="C436" t="str">
            <v>CITRIC 250</v>
          </cell>
          <cell r="D436">
            <v>2300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L436" t="str">
            <v/>
          </cell>
          <cell r="N436">
            <v>1045.3055555555557</v>
          </cell>
        </row>
        <row r="437">
          <cell r="A437" t="str">
            <v>2014</v>
          </cell>
          <cell r="B437" t="str">
            <v>GASEOSAS</v>
          </cell>
          <cell r="C437" t="str">
            <v>CITRIC 500</v>
          </cell>
          <cell r="D437">
            <v>3400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L437" t="str">
            <v/>
          </cell>
          <cell r="N437">
            <v>2176.9916666666668</v>
          </cell>
        </row>
        <row r="438">
          <cell r="A438" t="str">
            <v>2015</v>
          </cell>
          <cell r="B438" t="str">
            <v>GASEOSAS</v>
          </cell>
          <cell r="C438" t="str">
            <v>CITRIC LITRO</v>
          </cell>
          <cell r="D438">
            <v>5700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L438" t="str">
            <v/>
          </cell>
          <cell r="N438">
            <v>3654.2000000000003</v>
          </cell>
        </row>
        <row r="439">
          <cell r="A439" t="str">
            <v>2016</v>
          </cell>
          <cell r="B439" t="str">
            <v>GASEOSAS</v>
          </cell>
          <cell r="C439" t="str">
            <v>GATORADE X 500</v>
          </cell>
          <cell r="D439">
            <v>4300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L439" t="str">
            <v/>
          </cell>
          <cell r="N439">
            <v>1252.1916666666666</v>
          </cell>
        </row>
        <row r="440">
          <cell r="A440" t="str">
            <v>2019</v>
          </cell>
          <cell r="B440" t="str">
            <v>GASEOSAS</v>
          </cell>
          <cell r="C440" t="str">
            <v>POWERADE</v>
          </cell>
          <cell r="D440">
            <v>3300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L440" t="str">
            <v/>
          </cell>
          <cell r="N440">
            <v>0</v>
          </cell>
        </row>
        <row r="441">
          <cell r="A441" t="str">
            <v>2022</v>
          </cell>
          <cell r="B441" t="str">
            <v>GASEOSAS</v>
          </cell>
          <cell r="C441" t="str">
            <v>MONSTER LATA</v>
          </cell>
          <cell r="D441">
            <v>5000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L441" t="str">
            <v/>
          </cell>
          <cell r="N441">
            <v>1513.8816666666669</v>
          </cell>
        </row>
        <row r="442">
          <cell r="A442" t="str">
            <v>2025</v>
          </cell>
          <cell r="B442" t="str">
            <v>GASEOSAS</v>
          </cell>
          <cell r="C442" t="str">
            <v>RED BULL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L442" t="str">
            <v/>
          </cell>
          <cell r="N442">
            <v>0</v>
          </cell>
        </row>
        <row r="443">
          <cell r="A443" t="str">
            <v>2026</v>
          </cell>
          <cell r="B443" t="str">
            <v>GASEOSAS</v>
          </cell>
          <cell r="C443" t="str">
            <v>RED BULL FREE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L443" t="str">
            <v/>
          </cell>
          <cell r="N443" t="str">
            <v/>
          </cell>
        </row>
        <row r="444">
          <cell r="C444" t="str">
            <v>VARIOS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L444" t="str">
            <v/>
          </cell>
          <cell r="N444" t="str">
            <v/>
          </cell>
        </row>
        <row r="445">
          <cell r="A445" t="str">
            <v>2101</v>
          </cell>
          <cell r="B445" t="str">
            <v>VARIOS</v>
          </cell>
          <cell r="C445" t="str">
            <v>YERBA PLAYADITO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L445" t="str">
            <v/>
          </cell>
          <cell r="N445">
            <v>0</v>
          </cell>
        </row>
        <row r="446">
          <cell r="A446" t="str">
            <v>2115</v>
          </cell>
          <cell r="B446" t="str">
            <v>VARIOS</v>
          </cell>
          <cell r="C446" t="str">
            <v>YERBA MANANITA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L446" t="str">
            <v/>
          </cell>
          <cell r="N446" t="str">
            <v/>
          </cell>
        </row>
        <row r="447">
          <cell r="A447" t="str">
            <v>2116</v>
          </cell>
          <cell r="B447" t="str">
            <v>VARIOS</v>
          </cell>
          <cell r="C447" t="str">
            <v>YERBA UNION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L447" t="str">
            <v/>
          </cell>
          <cell r="N447" t="str">
            <v/>
          </cell>
        </row>
        <row r="448">
          <cell r="A448" t="str">
            <v>2102</v>
          </cell>
          <cell r="B448" t="str">
            <v>VARIOS</v>
          </cell>
          <cell r="C448" t="str">
            <v>YERBA TARAGUI</v>
          </cell>
          <cell r="D448">
            <v>7200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L448" t="str">
            <v/>
          </cell>
          <cell r="N448">
            <v>0</v>
          </cell>
        </row>
        <row r="449">
          <cell r="A449" t="str">
            <v>2104</v>
          </cell>
          <cell r="B449" t="str">
            <v>PROVEEDOR NUEVO</v>
          </cell>
          <cell r="C449" t="str">
            <v>CHURRO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L449" t="str">
            <v/>
          </cell>
          <cell r="N449">
            <v>0</v>
          </cell>
        </row>
        <row r="450">
          <cell r="A450" t="str">
            <v>2105</v>
          </cell>
          <cell r="B450" t="str">
            <v>PROVEEDOR NUEVO</v>
          </cell>
          <cell r="C450" t="str">
            <v>CHURRO RELLENO</v>
          </cell>
          <cell r="D450">
            <v>0</v>
          </cell>
          <cell r="E450">
            <v>9000</v>
          </cell>
          <cell r="F450">
            <v>7380</v>
          </cell>
          <cell r="G450">
            <v>7650</v>
          </cell>
          <cell r="H450">
            <v>8100</v>
          </cell>
          <cell r="I450">
            <v>8550</v>
          </cell>
          <cell r="L450" t="str">
            <v/>
          </cell>
          <cell r="N450">
            <v>0</v>
          </cell>
        </row>
        <row r="451">
          <cell r="A451" t="str">
            <v>2106</v>
          </cell>
          <cell r="B451" t="str">
            <v>PROVEEDOR NUEVO</v>
          </cell>
          <cell r="C451" t="str">
            <v>CHURRO RELLENO + BAÑO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L451" t="str">
            <v/>
          </cell>
          <cell r="N451">
            <v>0</v>
          </cell>
        </row>
        <row r="452">
          <cell r="A452" t="str">
            <v>2107</v>
          </cell>
          <cell r="B452" t="str">
            <v>PROVEEDOR NUEVO</v>
          </cell>
          <cell r="C452" t="str">
            <v>MINICHURROS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L452" t="str">
            <v/>
          </cell>
          <cell r="N452">
            <v>0</v>
          </cell>
        </row>
        <row r="453">
          <cell r="A453" t="str">
            <v>2108</v>
          </cell>
          <cell r="B453" t="str">
            <v>PROVEEDOR NUEVO</v>
          </cell>
          <cell r="C453" t="str">
            <v>CHURROS BOMBON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L453" t="str">
            <v/>
          </cell>
          <cell r="N453">
            <v>0</v>
          </cell>
        </row>
        <row r="454">
          <cell r="A454" t="str">
            <v>2109</v>
          </cell>
          <cell r="B454" t="str">
            <v>PROVEEDOR NUEVO</v>
          </cell>
          <cell r="C454" t="str">
            <v>DONUTS Y BERLINESAS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L454" t="str">
            <v/>
          </cell>
          <cell r="N454">
            <v>0</v>
          </cell>
        </row>
        <row r="455">
          <cell r="A455" t="str">
            <v>2110</v>
          </cell>
          <cell r="B455" t="str">
            <v>PROVEEDOR NUEVO</v>
          </cell>
          <cell r="C455" t="str">
            <v>D Y B RELLENAS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L455" t="str">
            <v/>
          </cell>
          <cell r="N455">
            <v>0</v>
          </cell>
        </row>
        <row r="456">
          <cell r="A456" t="str">
            <v>2111</v>
          </cell>
          <cell r="B456" t="str">
            <v>PROVEEDOR NUEVO</v>
          </cell>
          <cell r="C456" t="str">
            <v>D Y B RELLENAS + BAÑO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L456" t="str">
            <v/>
          </cell>
          <cell r="N456">
            <v>0</v>
          </cell>
        </row>
        <row r="457">
          <cell r="A457" t="str">
            <v>2112</v>
          </cell>
          <cell r="B457" t="str">
            <v>PROVEEDOR NUEVO</v>
          </cell>
          <cell r="C457" t="str">
            <v>D Y B RELLENAS + BAÑO + GLASEADO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L457" t="str">
            <v/>
          </cell>
          <cell r="N457">
            <v>0</v>
          </cell>
        </row>
        <row r="458">
          <cell r="A458" t="str">
            <v>2113</v>
          </cell>
          <cell r="B458" t="str">
            <v>PROVEEDOR NUEVO</v>
          </cell>
          <cell r="C458" t="str">
            <v>PASTELITOS (MEM, BAT, DDL)</v>
          </cell>
          <cell r="D458">
            <v>0</v>
          </cell>
          <cell r="E458">
            <v>15100</v>
          </cell>
          <cell r="F458">
            <v>12380</v>
          </cell>
          <cell r="G458">
            <v>12840</v>
          </cell>
          <cell r="H458">
            <v>13590</v>
          </cell>
          <cell r="I458">
            <v>14350</v>
          </cell>
          <cell r="L458" t="str">
            <v/>
          </cell>
          <cell r="N458">
            <v>0</v>
          </cell>
        </row>
        <row r="459">
          <cell r="A459" t="str">
            <v>2114</v>
          </cell>
          <cell r="B459" t="str">
            <v>PROVEEDOR NUEVO</v>
          </cell>
          <cell r="C459" t="str">
            <v>D Y B RELLENAS + BAÑO x UNIDAD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L459" t="str">
            <v/>
          </cell>
          <cell r="N459">
            <v>0</v>
          </cell>
        </row>
        <row r="460">
          <cell r="A460" t="str">
            <v>2117</v>
          </cell>
          <cell r="B460" t="str">
            <v>VARIOS</v>
          </cell>
          <cell r="C460" t="str">
            <v xml:space="preserve">YOGURT  DAHI FIRME 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L460" t="str">
            <v/>
          </cell>
          <cell r="N460" t="str">
            <v/>
          </cell>
        </row>
        <row r="461">
          <cell r="A461" t="str">
            <v>2118</v>
          </cell>
          <cell r="B461" t="str">
            <v>VARIOS</v>
          </cell>
          <cell r="C461" t="str">
            <v>YOGURT DAHI BATIDO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L461" t="str">
            <v/>
          </cell>
          <cell r="N461" t="str">
            <v/>
          </cell>
        </row>
        <row r="462">
          <cell r="C462" t="str">
            <v>SNACKS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L462" t="str">
            <v/>
          </cell>
          <cell r="N462" t="str">
            <v/>
          </cell>
        </row>
        <row r="463">
          <cell r="A463" t="str">
            <v>2150</v>
          </cell>
          <cell r="B463" t="str">
            <v>SNACKS</v>
          </cell>
          <cell r="C463" t="str">
            <v>LAYS CLASICAS X 20GR</v>
          </cell>
          <cell r="D463">
            <v>2300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L463" t="str">
            <v/>
          </cell>
          <cell r="N463">
            <v>590.32000000000005</v>
          </cell>
        </row>
        <row r="464">
          <cell r="A464" t="str">
            <v>2151</v>
          </cell>
          <cell r="B464" t="str">
            <v>SNACKS</v>
          </cell>
          <cell r="C464" t="str">
            <v>LAYS CLASICAS X 45GR</v>
          </cell>
          <cell r="D464">
            <v>4300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L464" t="str">
            <v/>
          </cell>
          <cell r="N464">
            <v>1062.57</v>
          </cell>
        </row>
        <row r="465">
          <cell r="A465" t="str">
            <v>2152</v>
          </cell>
          <cell r="B465" t="str">
            <v>SNACKS</v>
          </cell>
          <cell r="C465" t="str">
            <v>LAYS CLASICAS X 85GR</v>
          </cell>
          <cell r="D465">
            <v>7000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L465" t="str">
            <v/>
          </cell>
          <cell r="N465">
            <v>0</v>
          </cell>
        </row>
        <row r="466">
          <cell r="A466" t="str">
            <v>2153</v>
          </cell>
          <cell r="B466" t="str">
            <v>SNACKS</v>
          </cell>
          <cell r="C466" t="str">
            <v>LAYS CLASICAS X 145GR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L466" t="str">
            <v/>
          </cell>
          <cell r="N466">
            <v>1770.96</v>
          </cell>
        </row>
        <row r="467">
          <cell r="A467" t="str">
            <v>2156</v>
          </cell>
          <cell r="B467" t="str">
            <v>SNACKS</v>
          </cell>
          <cell r="C467" t="str">
            <v>LAYS ONDAS X 30 GR</v>
          </cell>
          <cell r="D467">
            <v>4300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L467" t="str">
            <v/>
          </cell>
          <cell r="N467">
            <v>0</v>
          </cell>
        </row>
        <row r="468">
          <cell r="A468" t="str">
            <v>2154</v>
          </cell>
          <cell r="B468" t="str">
            <v>SNACKS</v>
          </cell>
          <cell r="C468" t="str">
            <v>QUESO Y PIM - CEBOLLA - KETCHUP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L468" t="str">
            <v/>
          </cell>
          <cell r="N468">
            <v>0</v>
          </cell>
        </row>
        <row r="469">
          <cell r="A469" t="str">
            <v>2155</v>
          </cell>
          <cell r="B469" t="str">
            <v>SNACKS</v>
          </cell>
          <cell r="C469" t="str">
            <v>JAMON SERRANO - QUESO Y CEB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L469" t="str">
            <v/>
          </cell>
          <cell r="N469">
            <v>0</v>
          </cell>
        </row>
        <row r="470">
          <cell r="C470" t="str">
            <v>LAYS ESPECIALES X 85 GR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L470" t="str">
            <v/>
          </cell>
          <cell r="N470" t="str">
            <v/>
          </cell>
        </row>
        <row r="471">
          <cell r="A471" t="str">
            <v>2156</v>
          </cell>
          <cell r="B471" t="str">
            <v>SNACKS</v>
          </cell>
          <cell r="C471" t="str">
            <v>QUESO Y PIM - CEBOLLA - KETCHUP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L471" t="str">
            <v/>
          </cell>
          <cell r="N471">
            <v>0</v>
          </cell>
        </row>
        <row r="472">
          <cell r="A472" t="str">
            <v>2157</v>
          </cell>
          <cell r="B472" t="str">
            <v>SNACKS</v>
          </cell>
          <cell r="C472" t="str">
            <v>JAMON SERRANO - QUESO Y CEB 77 GRS</v>
          </cell>
          <cell r="D472">
            <v>7000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L472" t="str">
            <v/>
          </cell>
          <cell r="N472">
            <v>1770.96</v>
          </cell>
        </row>
        <row r="473">
          <cell r="A473" t="str">
            <v>2158</v>
          </cell>
          <cell r="B473" t="str">
            <v>SNACKS</v>
          </cell>
          <cell r="C473" t="str">
            <v>DORITOS X 40GR</v>
          </cell>
          <cell r="D473">
            <v>4300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L473" t="str">
            <v/>
          </cell>
          <cell r="N473">
            <v>1180.6400000000001</v>
          </cell>
        </row>
        <row r="474">
          <cell r="A474" t="str">
            <v>2159</v>
          </cell>
          <cell r="B474" t="str">
            <v>SNACKS</v>
          </cell>
          <cell r="C474" t="str">
            <v>DORITOS DINAMITA  X 33GR</v>
          </cell>
          <cell r="D474">
            <v>4300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L474" t="str">
            <v/>
          </cell>
          <cell r="N474">
            <v>0</v>
          </cell>
        </row>
        <row r="475">
          <cell r="A475" t="str">
            <v>2160</v>
          </cell>
          <cell r="B475" t="str">
            <v>SNACKS</v>
          </cell>
          <cell r="C475" t="str">
            <v>DORITOS X 77GR</v>
          </cell>
          <cell r="D475">
            <v>7000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L475" t="str">
            <v/>
          </cell>
          <cell r="N475">
            <v>0</v>
          </cell>
        </row>
        <row r="476">
          <cell r="A476" t="str">
            <v>2161</v>
          </cell>
          <cell r="B476" t="str">
            <v>SNACKS</v>
          </cell>
          <cell r="C476" t="str">
            <v>DORITOS QUESO X 45GR</v>
          </cell>
          <cell r="D476">
            <v>4300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L476" t="str">
            <v/>
          </cell>
          <cell r="N476">
            <v>1062.57</v>
          </cell>
        </row>
        <row r="477">
          <cell r="A477" t="str">
            <v>2162</v>
          </cell>
          <cell r="B477" t="str">
            <v>SNACKS</v>
          </cell>
          <cell r="C477" t="str">
            <v>DORITOS QUESO X 85GR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L477" t="str">
            <v/>
          </cell>
          <cell r="N477">
            <v>1889.02</v>
          </cell>
        </row>
        <row r="478">
          <cell r="A478" t="str">
            <v>2163</v>
          </cell>
          <cell r="B478" t="str">
            <v>SNACKS</v>
          </cell>
          <cell r="C478" t="str">
            <v>CHEETOS X 23GR</v>
          </cell>
          <cell r="D478">
            <v>2300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L478" t="str">
            <v/>
          </cell>
          <cell r="N478">
            <v>0</v>
          </cell>
        </row>
        <row r="479">
          <cell r="A479" t="str">
            <v>2164</v>
          </cell>
          <cell r="B479" t="str">
            <v>SNACKS</v>
          </cell>
          <cell r="C479" t="str">
            <v>CHEETOS QUESO/QUESO CREMA X 43GR</v>
          </cell>
          <cell r="D479">
            <v>4300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L479" t="str">
            <v/>
          </cell>
          <cell r="N479">
            <v>1062.57</v>
          </cell>
        </row>
        <row r="480">
          <cell r="A480" t="str">
            <v>2165</v>
          </cell>
          <cell r="B480" t="str">
            <v>SNACKS</v>
          </cell>
          <cell r="C480" t="str">
            <v>CHEETOS QUESO X 94GR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L480" t="str">
            <v/>
          </cell>
          <cell r="N480">
            <v>1770.96</v>
          </cell>
        </row>
        <row r="481">
          <cell r="A481" t="str">
            <v>2166</v>
          </cell>
          <cell r="B481" t="str">
            <v>SNACKS</v>
          </cell>
          <cell r="C481" t="str">
            <v>3 D 43GR</v>
          </cell>
          <cell r="D481">
            <v>4300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L481" t="str">
            <v/>
          </cell>
          <cell r="N481">
            <v>1180.6400000000001</v>
          </cell>
        </row>
        <row r="482">
          <cell r="A482" t="str">
            <v>2167</v>
          </cell>
          <cell r="B482" t="str">
            <v>SNACKS</v>
          </cell>
          <cell r="C482" t="str">
            <v>3 D 94GR</v>
          </cell>
          <cell r="D482">
            <v>4300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L482" t="str">
            <v/>
          </cell>
          <cell r="N482">
            <v>1880.02</v>
          </cell>
        </row>
        <row r="483">
          <cell r="A483" t="str">
            <v>2168</v>
          </cell>
          <cell r="B483" t="str">
            <v>SNACKS</v>
          </cell>
          <cell r="C483" t="str">
            <v>RUEDITAS 40GR</v>
          </cell>
          <cell r="D483">
            <v>4300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L483" t="str">
            <v/>
          </cell>
          <cell r="N483" t="str">
            <v/>
          </cell>
        </row>
        <row r="484">
          <cell r="A484" t="str">
            <v>2169</v>
          </cell>
          <cell r="B484" t="str">
            <v>SNACKS</v>
          </cell>
          <cell r="C484" t="str">
            <v>RUEDITAS 84GR</v>
          </cell>
          <cell r="D484">
            <v>7000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L484" t="str">
            <v/>
          </cell>
          <cell r="N484">
            <v>1180.6400000000001</v>
          </cell>
        </row>
        <row r="485">
          <cell r="A485" t="str">
            <v>2170</v>
          </cell>
          <cell r="B485" t="str">
            <v>SNACKS</v>
          </cell>
          <cell r="C485" t="str">
            <v>PEP COMUN 40GR</v>
          </cell>
          <cell r="D485">
            <v>3100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L485" t="str">
            <v/>
          </cell>
          <cell r="N485">
            <v>590.32000000000005</v>
          </cell>
        </row>
        <row r="486">
          <cell r="A486" t="str">
            <v>2171</v>
          </cell>
          <cell r="B486" t="str">
            <v>SNACKS</v>
          </cell>
          <cell r="C486" t="str">
            <v>PEP COMUN 84GR</v>
          </cell>
          <cell r="D486">
            <v>7000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L486" t="str">
            <v/>
          </cell>
          <cell r="N486">
            <v>0</v>
          </cell>
        </row>
        <row r="487">
          <cell r="A487" t="str">
            <v>2172</v>
          </cell>
          <cell r="B487" t="str">
            <v>SNACKS</v>
          </cell>
          <cell r="C487" t="str">
            <v>PEP COMUN 120GR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L487" t="str">
            <v/>
          </cell>
          <cell r="N487">
            <v>0</v>
          </cell>
        </row>
        <row r="488">
          <cell r="A488" t="str">
            <v>2173</v>
          </cell>
          <cell r="B488" t="str">
            <v>SNACKS</v>
          </cell>
          <cell r="C488" t="str">
            <v>MANI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L488" t="str">
            <v/>
          </cell>
          <cell r="N488">
            <v>0</v>
          </cell>
        </row>
        <row r="489">
          <cell r="A489" t="str">
            <v>2174</v>
          </cell>
          <cell r="B489" t="str">
            <v>SNACKS</v>
          </cell>
          <cell r="C489" t="str">
            <v>PEPAS PEHUAMAR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L489" t="str">
            <v/>
          </cell>
          <cell r="N489">
            <v>0</v>
          </cell>
        </row>
        <row r="490">
          <cell r="A490" t="str">
            <v>2175</v>
          </cell>
          <cell r="B490" t="str">
            <v>SNACKS</v>
          </cell>
          <cell r="C490" t="str">
            <v>PEP RAMITAS QUESO X40GR</v>
          </cell>
          <cell r="D490">
            <v>4300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L490" t="str">
            <v/>
          </cell>
          <cell r="N490">
            <v>590.32000000000005</v>
          </cell>
        </row>
        <row r="491">
          <cell r="A491" t="str">
            <v>2176</v>
          </cell>
          <cell r="B491" t="str">
            <v>SNACKS</v>
          </cell>
          <cell r="C491" t="str">
            <v>PEP RAMITAS QUESO X84GR</v>
          </cell>
          <cell r="D491">
            <v>7000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L491" t="str">
            <v/>
          </cell>
          <cell r="N491">
            <v>0</v>
          </cell>
        </row>
        <row r="492">
          <cell r="C492" t="str">
            <v>LASERENISIMA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L492" t="str">
            <v/>
          </cell>
          <cell r="N492" t="str">
            <v/>
          </cell>
        </row>
        <row r="493">
          <cell r="A493" t="str">
            <v>2201</v>
          </cell>
          <cell r="B493" t="str">
            <v>LASERENISIMA</v>
          </cell>
          <cell r="C493" t="str">
            <v>LECHE SACHET</v>
          </cell>
          <cell r="D493">
            <v>2600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L493" t="str">
            <v/>
          </cell>
          <cell r="N493">
            <v>1135.4000000000001</v>
          </cell>
        </row>
        <row r="494">
          <cell r="A494" t="str">
            <v>2202</v>
          </cell>
          <cell r="B494" t="str">
            <v>LASERENISIMA</v>
          </cell>
          <cell r="C494" t="str">
            <v>LECHE LARGAVIDA</v>
          </cell>
          <cell r="D494">
            <v>4800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L494" t="str">
            <v/>
          </cell>
          <cell r="N494">
            <v>1425</v>
          </cell>
        </row>
        <row r="495">
          <cell r="A495" t="str">
            <v>2203</v>
          </cell>
          <cell r="B495" t="str">
            <v>LASERENISIMA</v>
          </cell>
          <cell r="C495" t="str">
            <v>CINDOR</v>
          </cell>
          <cell r="D495">
            <v>8000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L495" t="str">
            <v/>
          </cell>
          <cell r="N495">
            <v>2979.04</v>
          </cell>
        </row>
        <row r="496">
          <cell r="A496" t="str">
            <v>2204</v>
          </cell>
          <cell r="B496" t="str">
            <v>LASERENISIMA</v>
          </cell>
          <cell r="C496" t="str">
            <v>CINDOR BRICK</v>
          </cell>
          <cell r="D496">
            <v>4800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L496" t="str">
            <v/>
          </cell>
          <cell r="N496">
            <v>2979.04</v>
          </cell>
        </row>
        <row r="497">
          <cell r="A497" t="str">
            <v>2205</v>
          </cell>
          <cell r="B497" t="str">
            <v>LASERENISIMA</v>
          </cell>
          <cell r="C497" t="str">
            <v>CHOCO TRES NIÑAS X 200</v>
          </cell>
          <cell r="D497">
            <v>4500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L497" t="str">
            <v/>
          </cell>
          <cell r="N497">
            <v>0</v>
          </cell>
        </row>
        <row r="498">
          <cell r="A498" t="str">
            <v>2206</v>
          </cell>
          <cell r="B498" t="str">
            <v>LASERENISIMA</v>
          </cell>
          <cell r="C498" t="str">
            <v>CHOCO TRES NIÑAS X 1 LTR</v>
          </cell>
          <cell r="D498">
            <v>5700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L498" t="str">
            <v/>
          </cell>
          <cell r="N498">
            <v>0</v>
          </cell>
        </row>
        <row r="499">
          <cell r="A499" t="str">
            <v>2207</v>
          </cell>
          <cell r="B499" t="str">
            <v>LASERENISIMA</v>
          </cell>
          <cell r="C499" t="str">
            <v>CHOCO BAGGIO X 200</v>
          </cell>
          <cell r="D499">
            <v>2600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L499" t="str">
            <v/>
          </cell>
          <cell r="N499">
            <v>0</v>
          </cell>
        </row>
        <row r="500">
          <cell r="A500" t="str">
            <v>2208</v>
          </cell>
          <cell r="B500" t="str">
            <v>LASERENISIMA</v>
          </cell>
          <cell r="C500" t="str">
            <v>CINDOR CHICA</v>
          </cell>
          <cell r="D500">
            <v>4800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L500" t="str">
            <v/>
          </cell>
          <cell r="N500">
            <v>1048.3900000000001</v>
          </cell>
        </row>
        <row r="501">
          <cell r="A501" t="str">
            <v>2209</v>
          </cell>
          <cell r="B501" t="str">
            <v>LASERENISIMA</v>
          </cell>
          <cell r="C501" t="str">
            <v>CINDOR GRANDE</v>
          </cell>
          <cell r="D501">
            <v>8300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L501" t="str">
            <v/>
          </cell>
          <cell r="N501">
            <v>2754.29</v>
          </cell>
        </row>
        <row r="502">
          <cell r="A502" t="str">
            <v>2210</v>
          </cell>
          <cell r="B502" t="str">
            <v>LASERENISIMA</v>
          </cell>
          <cell r="C502" t="str">
            <v>CHOCOLATADA NESQUIK</v>
          </cell>
          <cell r="D502">
            <v>2600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L502" t="str">
            <v/>
          </cell>
          <cell r="N502">
            <v>0</v>
          </cell>
        </row>
        <row r="503">
          <cell r="C503" t="str">
            <v>PRODUCTOS SIN TACC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L503" t="str">
            <v/>
          </cell>
          <cell r="N503" t="str">
            <v/>
          </cell>
        </row>
        <row r="504">
          <cell r="A504" t="str">
            <v>2250</v>
          </cell>
          <cell r="B504" t="str">
            <v>PRODUCTOS SIN TACC</v>
          </cell>
          <cell r="C504" t="str">
            <v>Pizza Individual Con queso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L504" t="str">
            <v/>
          </cell>
          <cell r="N504">
            <v>0</v>
          </cell>
        </row>
        <row r="505">
          <cell r="A505" t="str">
            <v>2251</v>
          </cell>
          <cell r="B505" t="str">
            <v>PRODUCTOS SIN TACC</v>
          </cell>
          <cell r="C505" t="str">
            <v>Galletitas de queso</v>
          </cell>
          <cell r="D505">
            <v>0</v>
          </cell>
          <cell r="E505">
            <v>9400</v>
          </cell>
          <cell r="F505">
            <v>7710</v>
          </cell>
          <cell r="G505">
            <v>7990</v>
          </cell>
          <cell r="H505">
            <v>8460</v>
          </cell>
          <cell r="I505">
            <v>8930</v>
          </cell>
          <cell r="L505" t="str">
            <v/>
          </cell>
          <cell r="N505">
            <v>3862</v>
          </cell>
        </row>
        <row r="506">
          <cell r="A506" t="str">
            <v>2252</v>
          </cell>
          <cell r="B506" t="str">
            <v>PRODUCTOS SIN TACC</v>
          </cell>
          <cell r="C506" t="str">
            <v>Tarta Calabaza y queso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L506" t="str">
            <v/>
          </cell>
          <cell r="N506">
            <v>6000</v>
          </cell>
        </row>
        <row r="507">
          <cell r="A507" t="str">
            <v>2253</v>
          </cell>
          <cell r="B507" t="str">
            <v>PRODUCTOS SIN TACC</v>
          </cell>
          <cell r="C507" t="str">
            <v>Tarta Jamón y queso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L507" t="str">
            <v/>
          </cell>
          <cell r="N507">
            <v>0</v>
          </cell>
        </row>
        <row r="508">
          <cell r="A508" t="str">
            <v>2254</v>
          </cell>
          <cell r="B508" t="str">
            <v>PRODUCTOS SIN TACC</v>
          </cell>
          <cell r="C508" t="str">
            <v>Tarta Zapallitos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L508" t="str">
            <v/>
          </cell>
          <cell r="N508">
            <v>0</v>
          </cell>
        </row>
        <row r="509">
          <cell r="A509" t="str">
            <v>2255</v>
          </cell>
          <cell r="B509" t="str">
            <v>PRODUCTOS SIN TACC</v>
          </cell>
          <cell r="C509" t="str">
            <v>Alfajorcitos de maicena x6</v>
          </cell>
          <cell r="D509">
            <v>0</v>
          </cell>
          <cell r="E509">
            <v>9200</v>
          </cell>
          <cell r="F509">
            <v>7540</v>
          </cell>
          <cell r="G509">
            <v>7820</v>
          </cell>
          <cell r="H509">
            <v>8280</v>
          </cell>
          <cell r="I509">
            <v>8740</v>
          </cell>
          <cell r="L509" t="str">
            <v/>
          </cell>
          <cell r="N509">
            <v>736.66666666666663</v>
          </cell>
        </row>
        <row r="510">
          <cell r="A510" t="str">
            <v>2256</v>
          </cell>
          <cell r="B510" t="str">
            <v>PRODUCTOS SIN TACC</v>
          </cell>
          <cell r="C510" t="str">
            <v>Alfajor de chocolate Negro</v>
          </cell>
          <cell r="D510">
            <v>0</v>
          </cell>
          <cell r="E510">
            <v>5400</v>
          </cell>
          <cell r="F510">
            <v>4430</v>
          </cell>
          <cell r="G510">
            <v>4590</v>
          </cell>
          <cell r="H510">
            <v>4860</v>
          </cell>
          <cell r="I510">
            <v>5130</v>
          </cell>
          <cell r="L510" t="str">
            <v/>
          </cell>
          <cell r="N510">
            <v>2432</v>
          </cell>
        </row>
        <row r="511">
          <cell r="A511" t="str">
            <v>2257</v>
          </cell>
          <cell r="B511" t="str">
            <v>PRODUCTOS SIN TACC</v>
          </cell>
          <cell r="C511" t="str">
            <v>Cuadrado Brownie con nueces</v>
          </cell>
          <cell r="D511">
            <v>0</v>
          </cell>
          <cell r="E511">
            <v>11200</v>
          </cell>
          <cell r="F511">
            <v>9180</v>
          </cell>
          <cell r="G511">
            <v>9520</v>
          </cell>
          <cell r="H511">
            <v>10080</v>
          </cell>
          <cell r="I511">
            <v>10640</v>
          </cell>
          <cell r="L511" t="str">
            <v/>
          </cell>
          <cell r="N511">
            <v>5088</v>
          </cell>
        </row>
        <row r="512">
          <cell r="A512" t="str">
            <v>2258</v>
          </cell>
          <cell r="B512" t="str">
            <v>PRODUCTOS SIN TACC</v>
          </cell>
          <cell r="C512" t="str">
            <v>Cuadrado Carrot Cake</v>
          </cell>
          <cell r="D512">
            <v>0</v>
          </cell>
          <cell r="E512">
            <v>11200</v>
          </cell>
          <cell r="F512">
            <v>9180</v>
          </cell>
          <cell r="G512">
            <v>9520</v>
          </cell>
          <cell r="H512">
            <v>10080</v>
          </cell>
          <cell r="I512">
            <v>10640</v>
          </cell>
          <cell r="L512" t="str">
            <v/>
          </cell>
          <cell r="N512">
            <v>5088</v>
          </cell>
        </row>
        <row r="513">
          <cell r="A513" t="str">
            <v>2259</v>
          </cell>
          <cell r="B513" t="str">
            <v>PRODUCTOS SIN TACC</v>
          </cell>
          <cell r="C513" t="str">
            <v>Cuadrado Coco y dulce de leche</v>
          </cell>
          <cell r="D513">
            <v>0</v>
          </cell>
          <cell r="E513">
            <v>10200</v>
          </cell>
          <cell r="F513">
            <v>8360</v>
          </cell>
          <cell r="G513">
            <v>8670</v>
          </cell>
          <cell r="H513">
            <v>9180</v>
          </cell>
          <cell r="I513">
            <v>9690</v>
          </cell>
          <cell r="L513" t="str">
            <v/>
          </cell>
          <cell r="N513">
            <v>4590</v>
          </cell>
        </row>
        <row r="514">
          <cell r="A514" t="str">
            <v>2260</v>
          </cell>
          <cell r="B514" t="str">
            <v>PRODUCTOS SIN TACC</v>
          </cell>
          <cell r="C514" t="str">
            <v xml:space="preserve">Cuadrado Lemonie </v>
          </cell>
          <cell r="D514">
            <v>0</v>
          </cell>
          <cell r="E514">
            <v>10200</v>
          </cell>
          <cell r="F514">
            <v>8360</v>
          </cell>
          <cell r="G514">
            <v>8670</v>
          </cell>
          <cell r="H514">
            <v>9180</v>
          </cell>
          <cell r="I514">
            <v>9690</v>
          </cell>
          <cell r="L514" t="str">
            <v/>
          </cell>
          <cell r="N514">
            <v>4590</v>
          </cell>
        </row>
        <row r="515">
          <cell r="A515" t="str">
            <v>2261</v>
          </cell>
          <cell r="B515" t="str">
            <v>PRODUCTOS SIN TACC</v>
          </cell>
          <cell r="C515" t="str">
            <v>Budin de Chips de chocolate</v>
          </cell>
          <cell r="D515">
            <v>0</v>
          </cell>
          <cell r="E515">
            <v>10700</v>
          </cell>
          <cell r="F515">
            <v>8770</v>
          </cell>
          <cell r="G515">
            <v>9100</v>
          </cell>
          <cell r="H515">
            <v>9630</v>
          </cell>
          <cell r="I515">
            <v>10170</v>
          </cell>
          <cell r="L515" t="str">
            <v/>
          </cell>
          <cell r="N515">
            <v>5205</v>
          </cell>
        </row>
        <row r="516">
          <cell r="A516" t="str">
            <v>2262</v>
          </cell>
          <cell r="B516" t="str">
            <v>PRODUCTOS SIN TACC</v>
          </cell>
          <cell r="C516" t="str">
            <v>Cookis x 2 un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L516" t="str">
            <v/>
          </cell>
          <cell r="N516">
            <v>0</v>
          </cell>
        </row>
        <row r="517">
          <cell r="A517" t="str">
            <v>2263</v>
          </cell>
          <cell r="B517" t="str">
            <v>PRODUCTOS SIN TACC</v>
          </cell>
          <cell r="C517" t="str">
            <v>Prepizza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L517" t="str">
            <v/>
          </cell>
          <cell r="N517">
            <v>5205</v>
          </cell>
        </row>
        <row r="518">
          <cell r="A518" t="str">
            <v>2264</v>
          </cell>
          <cell r="B518" t="str">
            <v>PRODUCTOS SIN TACC</v>
          </cell>
          <cell r="C518" t="str">
            <v>Pan d Molde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L518" t="str">
            <v/>
          </cell>
          <cell r="N518">
            <v>8089</v>
          </cell>
        </row>
        <row r="519">
          <cell r="A519" t="str">
            <v>2265</v>
          </cell>
          <cell r="B519" t="str">
            <v>PRODUCTOS SIN TACC</v>
          </cell>
          <cell r="C519" t="str">
            <v>Budin de Limon</v>
          </cell>
          <cell r="D519">
            <v>0</v>
          </cell>
          <cell r="E519">
            <v>10700</v>
          </cell>
          <cell r="F519">
            <v>8770</v>
          </cell>
          <cell r="G519">
            <v>9100</v>
          </cell>
          <cell r="H519">
            <v>9630</v>
          </cell>
          <cell r="I519">
            <v>10170</v>
          </cell>
          <cell r="L519" t="str">
            <v/>
          </cell>
          <cell r="N519" t="str">
            <v/>
          </cell>
        </row>
        <row r="520">
          <cell r="A520" t="str">
            <v>2266</v>
          </cell>
          <cell r="B520" t="str">
            <v>PRODUCTOS SIN TACC</v>
          </cell>
          <cell r="C520" t="str">
            <v>Pan de Molde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L520" t="str">
            <v/>
          </cell>
          <cell r="N520" t="str">
            <v/>
          </cell>
        </row>
        <row r="521">
          <cell r="A521" t="str">
            <v>2267</v>
          </cell>
          <cell r="B521" t="str">
            <v>PRODUCTOS SIN TACC</v>
          </cell>
          <cell r="C521" t="str">
            <v>Budin de Naranja y Amapola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L521" t="str">
            <v/>
          </cell>
          <cell r="N521" t="str">
            <v/>
          </cell>
        </row>
        <row r="522">
          <cell r="A522" t="str">
            <v>2268</v>
          </cell>
          <cell r="B522" t="str">
            <v>PRODUCTOS SIN TACC</v>
          </cell>
          <cell r="C522" t="str">
            <v>Alfa Cookie</v>
          </cell>
          <cell r="D522">
            <v>0</v>
          </cell>
          <cell r="E522">
            <v>10700</v>
          </cell>
          <cell r="F522">
            <v>8770</v>
          </cell>
          <cell r="G522">
            <v>9100</v>
          </cell>
          <cell r="H522">
            <v>9630</v>
          </cell>
          <cell r="I522">
            <v>10170</v>
          </cell>
          <cell r="L522" t="str">
            <v/>
          </cell>
          <cell r="N522" t="str">
            <v/>
          </cell>
        </row>
        <row r="523">
          <cell r="C523" t="str">
            <v>INSUMOS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L523" t="str">
            <v/>
          </cell>
          <cell r="N523" t="str">
            <v/>
          </cell>
        </row>
        <row r="524">
          <cell r="A524" t="str">
            <v>1901</v>
          </cell>
          <cell r="B524" t="str">
            <v>INSUMOS</v>
          </cell>
          <cell r="C524" t="str">
            <v>BOLSA DE HARINA 0000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L524" t="str">
            <v/>
          </cell>
          <cell r="N524">
            <v>0</v>
          </cell>
        </row>
        <row r="525">
          <cell r="A525" t="str">
            <v>1902</v>
          </cell>
          <cell r="B525" t="str">
            <v>INSUMOS</v>
          </cell>
          <cell r="C525" t="str">
            <v>LEVADURA</v>
          </cell>
          <cell r="D525">
            <v>0</v>
          </cell>
          <cell r="E525">
            <v>7600</v>
          </cell>
          <cell r="F525">
            <v>6230</v>
          </cell>
          <cell r="G525">
            <v>6460</v>
          </cell>
          <cell r="H525">
            <v>6840</v>
          </cell>
          <cell r="I525">
            <v>7220</v>
          </cell>
          <cell r="L525" t="str">
            <v/>
          </cell>
          <cell r="N525">
            <v>0</v>
          </cell>
        </row>
        <row r="526">
          <cell r="C526" t="str">
            <v>PASCUAS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L526" t="str">
            <v/>
          </cell>
          <cell r="N526" t="str">
            <v/>
          </cell>
        </row>
        <row r="527">
          <cell r="A527" t="str">
            <v>2050</v>
          </cell>
          <cell r="B527" t="str">
            <v>PASCUAS</v>
          </cell>
          <cell r="C527" t="str">
            <v xml:space="preserve">Huevos kinder 150gr 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L527" t="str">
            <v/>
          </cell>
          <cell r="N527">
            <v>0</v>
          </cell>
        </row>
        <row r="528">
          <cell r="A528" t="str">
            <v>2051</v>
          </cell>
          <cell r="B528" t="str">
            <v>PASCUAS</v>
          </cell>
          <cell r="C528" t="str">
            <v>Huevos kinder 100 gr.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L528" t="str">
            <v/>
          </cell>
          <cell r="N528">
            <v>0</v>
          </cell>
        </row>
        <row r="529">
          <cell r="A529" t="str">
            <v>2052</v>
          </cell>
          <cell r="B529" t="str">
            <v>PASCUAS</v>
          </cell>
          <cell r="C529" t="str">
            <v>Roscas Almacen especial ( higo Y Cereza )</v>
          </cell>
          <cell r="D529">
            <v>12200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L529" t="str">
            <v/>
          </cell>
          <cell r="N529">
            <v>0</v>
          </cell>
        </row>
        <row r="530">
          <cell r="A530" t="str">
            <v>2053</v>
          </cell>
          <cell r="B530" t="str">
            <v>PASCUAS</v>
          </cell>
          <cell r="C530" t="str">
            <v xml:space="preserve">Roscas pan fresh comun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L530" t="str">
            <v/>
          </cell>
          <cell r="N530">
            <v>0</v>
          </cell>
        </row>
        <row r="531">
          <cell r="A531" t="str">
            <v>2054</v>
          </cell>
          <cell r="B531" t="str">
            <v>PASCUAS</v>
          </cell>
          <cell r="C531" t="str">
            <v>Roscas almacen pan</v>
          </cell>
          <cell r="D531">
            <v>11700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L531" t="str">
            <v/>
          </cell>
          <cell r="N531">
            <v>0</v>
          </cell>
        </row>
        <row r="532">
          <cell r="A532" t="str">
            <v>2055</v>
          </cell>
          <cell r="B532" t="str">
            <v>PASCUAS</v>
          </cell>
          <cell r="C532" t="str">
            <v>Roscas mayorista  (cocida)</v>
          </cell>
          <cell r="D532">
            <v>0</v>
          </cell>
          <cell r="E532">
            <v>7200</v>
          </cell>
          <cell r="F532">
            <v>5900</v>
          </cell>
          <cell r="G532">
            <v>6120</v>
          </cell>
          <cell r="H532">
            <v>6480</v>
          </cell>
          <cell r="I532">
            <v>6840</v>
          </cell>
          <cell r="L532" t="str">
            <v/>
          </cell>
          <cell r="N532">
            <v>0</v>
          </cell>
        </row>
        <row r="533">
          <cell r="A533" t="str">
            <v>2056</v>
          </cell>
          <cell r="B533" t="str">
            <v>PASCUAS</v>
          </cell>
          <cell r="C533" t="str">
            <v>Roscas mayorista cruda (lata cruda 3 unid)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L533" t="str">
            <v/>
          </cell>
          <cell r="N533">
            <v>0</v>
          </cell>
        </row>
        <row r="534">
          <cell r="A534" t="str">
            <v>2057</v>
          </cell>
          <cell r="B534" t="str">
            <v>PASCUAS</v>
          </cell>
          <cell r="C534" t="str">
            <v>Roscas Almendra</v>
          </cell>
          <cell r="D534">
            <v>12900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L534" t="str">
            <v/>
          </cell>
          <cell r="N534">
            <v>0</v>
          </cell>
        </row>
        <row r="535">
          <cell r="A535" t="str">
            <v>2058</v>
          </cell>
          <cell r="B535" t="str">
            <v>PASCUAS</v>
          </cell>
          <cell r="C535" t="str">
            <v>Medio huevo relleno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L535" t="str">
            <v/>
          </cell>
          <cell r="N535">
            <v>0</v>
          </cell>
        </row>
        <row r="536">
          <cell r="A536" t="str">
            <v>2059</v>
          </cell>
          <cell r="B536" t="str">
            <v>PASCUAS</v>
          </cell>
          <cell r="C536" t="str">
            <v>Huevo (con copa del mundo) 225 gr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L536" t="str">
            <v/>
          </cell>
          <cell r="N536">
            <v>0</v>
          </cell>
        </row>
        <row r="537">
          <cell r="A537" t="str">
            <v>2060</v>
          </cell>
          <cell r="B537" t="str">
            <v>PASCUAS</v>
          </cell>
          <cell r="C537" t="str">
            <v xml:space="preserve">Copa del mundo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L537" t="str">
            <v/>
          </cell>
          <cell r="N537">
            <v>0</v>
          </cell>
        </row>
        <row r="538">
          <cell r="A538" t="str">
            <v>2061</v>
          </cell>
          <cell r="B538" t="str">
            <v>PASCUAS</v>
          </cell>
          <cell r="C538" t="str">
            <v>Huevos grandes Almacen ( 350 grs )</v>
          </cell>
          <cell r="D538">
            <v>40600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L538" t="str">
            <v/>
          </cell>
          <cell r="N538">
            <v>0</v>
          </cell>
        </row>
        <row r="539">
          <cell r="A539" t="str">
            <v>2062</v>
          </cell>
          <cell r="B539" t="str">
            <v>PASCUAS</v>
          </cell>
          <cell r="C539" t="str">
            <v xml:space="preserve">Chupetines chicos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L539" t="str">
            <v/>
          </cell>
          <cell r="N539">
            <v>0</v>
          </cell>
        </row>
        <row r="540">
          <cell r="A540" t="str">
            <v>2063</v>
          </cell>
          <cell r="B540" t="str">
            <v>PASCUAS</v>
          </cell>
          <cell r="C540" t="str">
            <v>Chupetines medianos ( 40 grs )</v>
          </cell>
          <cell r="D540">
            <v>5000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L540" t="str">
            <v/>
          </cell>
          <cell r="N540">
            <v>0</v>
          </cell>
        </row>
        <row r="541">
          <cell r="A541" t="str">
            <v>2064</v>
          </cell>
          <cell r="B541" t="str">
            <v>PASCUAS</v>
          </cell>
          <cell r="C541" t="str">
            <v xml:space="preserve">Chupetines grandes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L541" t="str">
            <v/>
          </cell>
          <cell r="N541">
            <v>0</v>
          </cell>
        </row>
        <row r="542">
          <cell r="A542" t="str">
            <v>2065</v>
          </cell>
          <cell r="B542" t="str">
            <v>PASCUAS</v>
          </cell>
          <cell r="C542" t="str">
            <v xml:space="preserve">Roscas rellenas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L542" t="str">
            <v/>
          </cell>
          <cell r="N542">
            <v>0</v>
          </cell>
        </row>
        <row r="543"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L543" t="str">
            <v/>
          </cell>
          <cell r="N543" t="str">
            <v/>
          </cell>
        </row>
        <row r="544">
          <cell r="C544" t="str">
            <v>LATA COCIDA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L544" t="str">
            <v/>
          </cell>
          <cell r="N544" t="str">
            <v/>
          </cell>
        </row>
        <row r="545">
          <cell r="A545" t="str">
            <v>2302</v>
          </cell>
          <cell r="B545" t="str">
            <v>LATA COCIDA</v>
          </cell>
          <cell r="C545" t="str">
            <v>LATA ZAPATILLA</v>
          </cell>
          <cell r="D545">
            <v>0</v>
          </cell>
          <cell r="E545">
            <v>8800</v>
          </cell>
          <cell r="F545">
            <v>7220</v>
          </cell>
          <cell r="G545">
            <v>7480</v>
          </cell>
          <cell r="H545">
            <v>7920</v>
          </cell>
          <cell r="I545">
            <v>8360</v>
          </cell>
          <cell r="L545" t="str">
            <v/>
          </cell>
          <cell r="N545">
            <v>1921.2936666666669</v>
          </cell>
        </row>
        <row r="546">
          <cell r="A546" t="str">
            <v>9999</v>
          </cell>
          <cell r="B546" t="str">
            <v>LATA</v>
          </cell>
          <cell r="C546" t="str">
            <v>LATA VACIA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L546" t="str">
            <v/>
          </cell>
          <cell r="N546" t="str">
            <v/>
          </cell>
        </row>
        <row r="547">
          <cell r="A547" t="str">
            <v>2304</v>
          </cell>
          <cell r="B547" t="str">
            <v>LATA COCIDA</v>
          </cell>
          <cell r="C547" t="str">
            <v>LATA MEDIALUNA MANTECA</v>
          </cell>
          <cell r="E547">
            <v>24500</v>
          </cell>
          <cell r="F547">
            <v>20090</v>
          </cell>
          <cell r="G547">
            <v>20830</v>
          </cell>
          <cell r="H547">
            <v>22050</v>
          </cell>
          <cell r="I547">
            <v>23280</v>
          </cell>
          <cell r="L547" t="str">
            <v/>
          </cell>
          <cell r="N547">
            <v>2726.0349851851852</v>
          </cell>
        </row>
        <row r="548">
          <cell r="A548" t="str">
            <v>2305</v>
          </cell>
          <cell r="B548" t="str">
            <v>LATA COCIDA</v>
          </cell>
          <cell r="C548" t="str">
            <v>LATA SURTIDO DE GRASA</v>
          </cell>
          <cell r="E548">
            <v>23000</v>
          </cell>
          <cell r="F548">
            <v>18860</v>
          </cell>
          <cell r="G548">
            <v>19550</v>
          </cell>
          <cell r="H548">
            <v>20700</v>
          </cell>
          <cell r="I548">
            <v>21850</v>
          </cell>
          <cell r="L548" t="str">
            <v/>
          </cell>
          <cell r="N548">
            <v>1200.1366666666668</v>
          </cell>
        </row>
        <row r="549">
          <cell r="A549" t="str">
            <v>2306</v>
          </cell>
          <cell r="B549" t="str">
            <v>LATA COCIDA</v>
          </cell>
          <cell r="C549" t="str">
            <v>LATA SURTIDO DE MANTECA</v>
          </cell>
          <cell r="E549">
            <v>23000</v>
          </cell>
          <cell r="F549">
            <v>18860</v>
          </cell>
          <cell r="G549">
            <v>19550</v>
          </cell>
          <cell r="H549">
            <v>20700</v>
          </cell>
          <cell r="I549">
            <v>21850</v>
          </cell>
          <cell r="L549" t="str">
            <v/>
          </cell>
          <cell r="N549">
            <v>2726.0349851851852</v>
          </cell>
        </row>
        <row r="550">
          <cell r="A550" t="str">
            <v>2307</v>
          </cell>
          <cell r="B550" t="str">
            <v>LATA COCIDA</v>
          </cell>
          <cell r="C550" t="str">
            <v>LATA FIGASA</v>
          </cell>
          <cell r="E550">
            <v>13200</v>
          </cell>
          <cell r="F550">
            <v>10820</v>
          </cell>
          <cell r="G550">
            <v>11220</v>
          </cell>
          <cell r="H550">
            <v>11880</v>
          </cell>
          <cell r="I550">
            <v>12540</v>
          </cell>
          <cell r="L550" t="str">
            <v/>
          </cell>
          <cell r="N550">
            <v>1962.8467999999998</v>
          </cell>
        </row>
        <row r="551">
          <cell r="A551" t="str">
            <v>2308</v>
          </cell>
          <cell r="B551" t="str">
            <v>LATA COCIDA</v>
          </cell>
          <cell r="C551" t="str">
            <v xml:space="preserve">LATA NEGRITO   </v>
          </cell>
          <cell r="D551">
            <v>0</v>
          </cell>
          <cell r="E551">
            <v>12100</v>
          </cell>
          <cell r="F551">
            <v>9920</v>
          </cell>
          <cell r="G551">
            <v>10290</v>
          </cell>
          <cell r="H551">
            <v>10890</v>
          </cell>
          <cell r="I551">
            <v>11500</v>
          </cell>
          <cell r="L551" t="str">
            <v/>
          </cell>
          <cell r="N551">
            <v>1932.19145</v>
          </cell>
        </row>
        <row r="552">
          <cell r="A552" t="str">
            <v>2309</v>
          </cell>
          <cell r="B552" t="str">
            <v>LATA COCIDA</v>
          </cell>
          <cell r="C552" t="str">
            <v>LATA GALLETA</v>
          </cell>
          <cell r="D552">
            <v>0</v>
          </cell>
          <cell r="E552">
            <v>11400</v>
          </cell>
          <cell r="F552">
            <v>9350</v>
          </cell>
          <cell r="G552">
            <v>9690</v>
          </cell>
          <cell r="H552">
            <v>10260</v>
          </cell>
          <cell r="I552">
            <v>10830</v>
          </cell>
          <cell r="L552" t="str">
            <v/>
          </cell>
          <cell r="N552">
            <v>771.24198000000001</v>
          </cell>
        </row>
        <row r="553">
          <cell r="A553" t="str">
            <v>2310</v>
          </cell>
          <cell r="B553" t="str">
            <v>LATA COCIDA</v>
          </cell>
          <cell r="C553" t="str">
            <v>LATA GALLETA DE QUESO</v>
          </cell>
          <cell r="D553">
            <v>0</v>
          </cell>
          <cell r="E553">
            <v>14400</v>
          </cell>
          <cell r="F553">
            <v>11810</v>
          </cell>
          <cell r="G553">
            <v>12240</v>
          </cell>
          <cell r="H553">
            <v>12960</v>
          </cell>
          <cell r="I553">
            <v>13680</v>
          </cell>
          <cell r="L553" t="str">
            <v/>
          </cell>
          <cell r="N553">
            <v>1551.3092999999999</v>
          </cell>
        </row>
        <row r="554">
          <cell r="A554" t="str">
            <v>2311</v>
          </cell>
          <cell r="B554" t="str">
            <v>LATA COCIDA</v>
          </cell>
          <cell r="C554" t="str">
            <v>LATA DE GALLETA DE CHICHA</v>
          </cell>
          <cell r="D554">
            <v>0</v>
          </cell>
          <cell r="E554">
            <v>12700</v>
          </cell>
          <cell r="F554">
            <v>10410</v>
          </cell>
          <cell r="G554">
            <v>10800</v>
          </cell>
          <cell r="H554">
            <v>11430</v>
          </cell>
          <cell r="I554">
            <v>12070</v>
          </cell>
          <cell r="L554" t="str">
            <v/>
          </cell>
          <cell r="N554">
            <v>1011.24198</v>
          </cell>
        </row>
        <row r="555">
          <cell r="A555" t="str">
            <v>2312</v>
          </cell>
          <cell r="B555" t="str">
            <v>LATA COCIDA</v>
          </cell>
          <cell r="C555" t="str">
            <v>LATA SABORIZADO</v>
          </cell>
          <cell r="D555">
            <v>0</v>
          </cell>
          <cell r="E555">
            <v>13100</v>
          </cell>
          <cell r="F555">
            <v>10740</v>
          </cell>
          <cell r="G555">
            <v>11140</v>
          </cell>
          <cell r="H555">
            <v>11790</v>
          </cell>
          <cell r="I555">
            <v>12450</v>
          </cell>
          <cell r="L555" t="str">
            <v/>
          </cell>
          <cell r="N555">
            <v>2069.48405</v>
          </cell>
        </row>
        <row r="556">
          <cell r="A556" t="str">
            <v>2313</v>
          </cell>
          <cell r="B556" t="str">
            <v>LATA COCIDA</v>
          </cell>
          <cell r="C556" t="str">
            <v>LATA BIZCOCHO</v>
          </cell>
          <cell r="D556">
            <v>0</v>
          </cell>
          <cell r="E556">
            <v>23000</v>
          </cell>
          <cell r="F556">
            <v>18860</v>
          </cell>
          <cell r="G556">
            <v>19550</v>
          </cell>
          <cell r="H556">
            <v>20700</v>
          </cell>
          <cell r="I556">
            <v>21850</v>
          </cell>
          <cell r="L556" t="str">
            <v/>
          </cell>
          <cell r="N556">
            <v>0</v>
          </cell>
        </row>
        <row r="557">
          <cell r="A557" t="str">
            <v>2314</v>
          </cell>
          <cell r="B557" t="str">
            <v>LATA COCIDA</v>
          </cell>
          <cell r="C557" t="str">
            <v>LATA CHIPA</v>
          </cell>
          <cell r="D557">
            <v>0</v>
          </cell>
          <cell r="E557">
            <v>33000</v>
          </cell>
          <cell r="F557">
            <v>27060</v>
          </cell>
          <cell r="G557">
            <v>28050</v>
          </cell>
          <cell r="H557">
            <v>29700</v>
          </cell>
          <cell r="I557">
            <v>31350</v>
          </cell>
          <cell r="J557">
            <v>2346.2186172839502</v>
          </cell>
          <cell r="K557">
            <v>9166.2186172839502</v>
          </cell>
          <cell r="L557">
            <v>23833.78138271605</v>
          </cell>
          <cell r="M557">
            <v>0.72223579947624394</v>
          </cell>
          <cell r="N557">
            <v>7591.9675555555559</v>
          </cell>
        </row>
        <row r="558">
          <cell r="A558" t="str">
            <v>2315</v>
          </cell>
          <cell r="B558" t="str">
            <v>LATA COCIDA</v>
          </cell>
          <cell r="C558" t="str">
            <v>LATA MEDIALUNA DE GRASA</v>
          </cell>
          <cell r="D558">
            <v>0</v>
          </cell>
          <cell r="E558">
            <v>20000</v>
          </cell>
          <cell r="F558">
            <v>16400</v>
          </cell>
          <cell r="G558">
            <v>17000</v>
          </cell>
          <cell r="H558">
            <v>18000</v>
          </cell>
          <cell r="I558">
            <v>19000</v>
          </cell>
          <cell r="L558" t="str">
            <v/>
          </cell>
          <cell r="N558">
            <v>0</v>
          </cell>
        </row>
        <row r="559">
          <cell r="A559" t="str">
            <v>2316</v>
          </cell>
          <cell r="B559" t="str">
            <v>LATA COCIDA</v>
          </cell>
          <cell r="C559" t="str">
            <v>LATA MEDIALUNA CON DDL O PASTELERA</v>
          </cell>
          <cell r="D559">
            <v>0</v>
          </cell>
          <cell r="E559">
            <v>27000</v>
          </cell>
          <cell r="F559">
            <v>22140</v>
          </cell>
          <cell r="G559">
            <v>22950</v>
          </cell>
          <cell r="H559">
            <v>24300</v>
          </cell>
          <cell r="I559">
            <v>25650</v>
          </cell>
          <cell r="L559" t="str">
            <v/>
          </cell>
          <cell r="N559">
            <v>0</v>
          </cell>
        </row>
        <row r="560">
          <cell r="A560" t="str">
            <v>2317</v>
          </cell>
          <cell r="B560" t="str">
            <v>LATA COCIDA</v>
          </cell>
          <cell r="C560" t="str">
            <v>LATA LENGUITA</v>
          </cell>
          <cell r="D560">
            <v>0</v>
          </cell>
          <cell r="E560">
            <v>16400</v>
          </cell>
          <cell r="F560">
            <v>13450</v>
          </cell>
          <cell r="G560">
            <v>13940</v>
          </cell>
          <cell r="H560">
            <v>14760</v>
          </cell>
          <cell r="I560">
            <v>15580</v>
          </cell>
          <cell r="L560" t="str">
            <v/>
          </cell>
          <cell r="N560">
            <v>494.18377142857139</v>
          </cell>
        </row>
        <row r="561">
          <cell r="A561" t="str">
            <v>2318</v>
          </cell>
          <cell r="B561" t="str">
            <v>LATA COCIDA</v>
          </cell>
          <cell r="C561" t="str">
            <v>LATA PALITO DE GRASA</v>
          </cell>
          <cell r="D561">
            <v>0</v>
          </cell>
          <cell r="E561">
            <v>12000</v>
          </cell>
          <cell r="F561">
            <v>9840</v>
          </cell>
          <cell r="G561">
            <v>10200</v>
          </cell>
          <cell r="H561">
            <v>10800</v>
          </cell>
          <cell r="I561">
            <v>11400</v>
          </cell>
          <cell r="L561" t="str">
            <v/>
          </cell>
          <cell r="N561">
            <v>576.54773333333321</v>
          </cell>
        </row>
        <row r="562">
          <cell r="A562" t="str">
            <v>2319</v>
          </cell>
          <cell r="B562" t="str">
            <v>LATA COCIDA</v>
          </cell>
          <cell r="C562" t="str">
            <v>LATA HOJALDRE CON DDL</v>
          </cell>
          <cell r="D562">
            <v>0</v>
          </cell>
          <cell r="E562">
            <v>19000</v>
          </cell>
          <cell r="F562">
            <v>15580</v>
          </cell>
          <cell r="G562">
            <v>16150</v>
          </cell>
          <cell r="H562">
            <v>17100</v>
          </cell>
          <cell r="I562">
            <v>18050</v>
          </cell>
          <cell r="L562" t="str">
            <v/>
          </cell>
          <cell r="N562">
            <v>2486.5494666666664</v>
          </cell>
        </row>
        <row r="563">
          <cell r="A563" t="str">
            <v>2320</v>
          </cell>
          <cell r="B563" t="str">
            <v>LATA COCIDA</v>
          </cell>
          <cell r="C563" t="str">
            <v>LATA HOJALDRE CON PASTE Y MEM</v>
          </cell>
          <cell r="D563">
            <v>0</v>
          </cell>
          <cell r="E563">
            <v>19000</v>
          </cell>
          <cell r="F563">
            <v>15580</v>
          </cell>
          <cell r="G563">
            <v>16150</v>
          </cell>
          <cell r="H563">
            <v>17100</v>
          </cell>
          <cell r="I563">
            <v>18050</v>
          </cell>
          <cell r="L563" t="str">
            <v/>
          </cell>
          <cell r="N563">
            <v>2486.5494666666664</v>
          </cell>
        </row>
        <row r="564">
          <cell r="A564" t="str">
            <v>2321</v>
          </cell>
          <cell r="B564" t="str">
            <v>LATA COCIDA</v>
          </cell>
          <cell r="C564" t="str">
            <v>LATA TORTA NEGRA</v>
          </cell>
          <cell r="D564">
            <v>0</v>
          </cell>
          <cell r="E564">
            <v>27000</v>
          </cell>
          <cell r="F564">
            <v>22140</v>
          </cell>
          <cell r="G564">
            <v>22950</v>
          </cell>
          <cell r="H564">
            <v>24300</v>
          </cell>
          <cell r="I564">
            <v>25650</v>
          </cell>
          <cell r="L564" t="str">
            <v/>
          </cell>
          <cell r="N564">
            <v>2726.0349851851852</v>
          </cell>
        </row>
        <row r="565">
          <cell r="A565" t="str">
            <v>2323</v>
          </cell>
          <cell r="B565" t="str">
            <v>LATA COCIDA</v>
          </cell>
          <cell r="C565" t="str">
            <v>LATA CUERNITO</v>
          </cell>
          <cell r="D565">
            <v>0</v>
          </cell>
          <cell r="E565">
            <v>23000</v>
          </cell>
          <cell r="F565">
            <v>18860</v>
          </cell>
          <cell r="G565">
            <v>19550</v>
          </cell>
          <cell r="H565">
            <v>20700</v>
          </cell>
          <cell r="I565">
            <v>21850</v>
          </cell>
          <cell r="L565" t="str">
            <v/>
          </cell>
          <cell r="N565">
            <v>4526.1851333333334</v>
          </cell>
        </row>
        <row r="566">
          <cell r="A566" t="str">
            <v>2324</v>
          </cell>
          <cell r="B566" t="str">
            <v>LATA COCIDA</v>
          </cell>
          <cell r="C566" t="str">
            <v>LATA SURTIDO DOBLE MANTECA</v>
          </cell>
          <cell r="D566">
            <v>0</v>
          </cell>
          <cell r="E566">
            <v>24500</v>
          </cell>
          <cell r="F566">
            <v>20090</v>
          </cell>
          <cell r="G566">
            <v>20830</v>
          </cell>
          <cell r="H566">
            <v>22050</v>
          </cell>
          <cell r="I566">
            <v>23280</v>
          </cell>
          <cell r="L566" t="str">
            <v/>
          </cell>
          <cell r="N566">
            <v>0</v>
          </cell>
        </row>
        <row r="567">
          <cell r="A567" t="str">
            <v>2355</v>
          </cell>
          <cell r="B567" t="str">
            <v>LATA COCIDA</v>
          </cell>
          <cell r="C567" t="str">
            <v>CREMONITAS X 15 UNIDADES</v>
          </cell>
          <cell r="D567">
            <v>0</v>
          </cell>
          <cell r="E567">
            <v>11400</v>
          </cell>
          <cell r="F567">
            <v>9350</v>
          </cell>
          <cell r="G567">
            <v>9690</v>
          </cell>
          <cell r="H567">
            <v>10260</v>
          </cell>
          <cell r="I567">
            <v>10830</v>
          </cell>
          <cell r="L567" t="str">
            <v/>
          </cell>
          <cell r="N567" t="str">
            <v/>
          </cell>
        </row>
        <row r="568">
          <cell r="A568" t="str">
            <v>2356</v>
          </cell>
          <cell r="B568" t="str">
            <v>LATA COCIDA</v>
          </cell>
          <cell r="C568" t="str">
            <v>LATA ROCETA</v>
          </cell>
          <cell r="D568">
            <v>0</v>
          </cell>
          <cell r="E568">
            <v>15400</v>
          </cell>
          <cell r="F568">
            <v>12630</v>
          </cell>
          <cell r="G568">
            <v>13090</v>
          </cell>
          <cell r="H568">
            <v>13860</v>
          </cell>
          <cell r="I568">
            <v>14630</v>
          </cell>
          <cell r="L568" t="str">
            <v/>
          </cell>
          <cell r="N568" t="str">
            <v/>
          </cell>
        </row>
        <row r="569">
          <cell r="A569" t="str">
            <v>2357</v>
          </cell>
          <cell r="B569" t="str">
            <v>LATA COCIDA</v>
          </cell>
          <cell r="C569" t="str">
            <v>LATA FIGASA SABORIZADA</v>
          </cell>
          <cell r="D569">
            <v>0</v>
          </cell>
          <cell r="E569">
            <v>14000</v>
          </cell>
          <cell r="F569">
            <v>11480</v>
          </cell>
          <cell r="G569">
            <v>11900</v>
          </cell>
          <cell r="H569">
            <v>12600</v>
          </cell>
          <cell r="I569">
            <v>13300</v>
          </cell>
          <cell r="L569" t="str">
            <v/>
          </cell>
          <cell r="N569" t="str">
            <v/>
          </cell>
        </row>
        <row r="570">
          <cell r="C570" t="str">
            <v>LATA CRUDA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L570" t="str">
            <v/>
          </cell>
          <cell r="N570" t="str">
            <v/>
          </cell>
        </row>
        <row r="571">
          <cell r="A571" t="str">
            <v>2401</v>
          </cell>
          <cell r="B571" t="str">
            <v>LATA CRUDA</v>
          </cell>
          <cell r="C571" t="str">
            <v>BAGUETTE (CRUDO)</v>
          </cell>
          <cell r="D571">
            <v>0</v>
          </cell>
          <cell r="E571">
            <v>5000</v>
          </cell>
          <cell r="F571">
            <v>4100</v>
          </cell>
          <cell r="G571">
            <v>4250</v>
          </cell>
          <cell r="H571">
            <v>4500</v>
          </cell>
          <cell r="I571">
            <v>4750</v>
          </cell>
          <cell r="L571" t="str">
            <v/>
          </cell>
          <cell r="N571">
            <v>811.79238333333331</v>
          </cell>
        </row>
        <row r="572">
          <cell r="A572" t="str">
            <v>2402</v>
          </cell>
          <cell r="B572" t="str">
            <v>LATA CRUDA</v>
          </cell>
          <cell r="C572" t="str">
            <v>BAGUETTIN (CRUDO)</v>
          </cell>
          <cell r="D572">
            <v>0</v>
          </cell>
          <cell r="E572">
            <v>5000</v>
          </cell>
          <cell r="F572">
            <v>4100</v>
          </cell>
          <cell r="G572">
            <v>4250</v>
          </cell>
          <cell r="H572">
            <v>4500</v>
          </cell>
          <cell r="I572">
            <v>4750</v>
          </cell>
          <cell r="L572" t="str">
            <v/>
          </cell>
          <cell r="N572">
            <v>811.79238333333331</v>
          </cell>
        </row>
        <row r="573">
          <cell r="A573" t="str">
            <v>2403</v>
          </cell>
          <cell r="B573" t="str">
            <v>LATA CRUDA</v>
          </cell>
          <cell r="C573" t="str">
            <v>FLAUTITA (CRUDO)</v>
          </cell>
          <cell r="D573">
            <v>0</v>
          </cell>
          <cell r="E573">
            <v>5000</v>
          </cell>
          <cell r="F573">
            <v>4100</v>
          </cell>
          <cell r="G573">
            <v>4250</v>
          </cell>
          <cell r="H573">
            <v>4500</v>
          </cell>
          <cell r="I573">
            <v>4750</v>
          </cell>
          <cell r="L573" t="str">
            <v/>
          </cell>
          <cell r="N573">
            <v>811.79238333333331</v>
          </cell>
        </row>
        <row r="574">
          <cell r="A574" t="str">
            <v>2404</v>
          </cell>
          <cell r="B574" t="str">
            <v>LATA CRUDA</v>
          </cell>
          <cell r="C574" t="str">
            <v>MIGÑONCITO (CRUDO)</v>
          </cell>
          <cell r="D574">
            <v>0</v>
          </cell>
          <cell r="E574">
            <v>5000</v>
          </cell>
          <cell r="F574">
            <v>4100</v>
          </cell>
          <cell r="G574">
            <v>4250</v>
          </cell>
          <cell r="H574">
            <v>4500</v>
          </cell>
          <cell r="I574">
            <v>4750</v>
          </cell>
          <cell r="L574" t="str">
            <v/>
          </cell>
          <cell r="N574">
            <v>811.79238333333331</v>
          </cell>
        </row>
        <row r="575">
          <cell r="A575" t="str">
            <v>2405</v>
          </cell>
          <cell r="B575" t="str">
            <v>LATA CRUDA</v>
          </cell>
          <cell r="C575" t="str">
            <v>SIN SAL (CRUDO)</v>
          </cell>
          <cell r="D575">
            <v>0</v>
          </cell>
          <cell r="E575">
            <v>5000</v>
          </cell>
          <cell r="F575">
            <v>4100</v>
          </cell>
          <cell r="G575">
            <v>4250</v>
          </cell>
          <cell r="H575">
            <v>4500</v>
          </cell>
          <cell r="I575">
            <v>4750</v>
          </cell>
          <cell r="L575" t="str">
            <v/>
          </cell>
          <cell r="N575">
            <v>534.52825555555546</v>
          </cell>
        </row>
        <row r="576">
          <cell r="A576" t="str">
            <v>2406</v>
          </cell>
          <cell r="B576" t="str">
            <v>LATA CRUDA</v>
          </cell>
          <cell r="C576" t="str">
            <v>MILONGUITAS (CRUDO)</v>
          </cell>
          <cell r="D576">
            <v>0</v>
          </cell>
          <cell r="E576">
            <v>5000</v>
          </cell>
          <cell r="F576">
            <v>4100</v>
          </cell>
          <cell r="G576">
            <v>4250</v>
          </cell>
          <cell r="H576">
            <v>4500</v>
          </cell>
          <cell r="I576">
            <v>4750</v>
          </cell>
          <cell r="L576" t="str">
            <v/>
          </cell>
          <cell r="N576">
            <v>811.79238333333331</v>
          </cell>
        </row>
        <row r="577">
          <cell r="A577" t="str">
            <v>2407</v>
          </cell>
          <cell r="B577" t="str">
            <v>LATA CRUDA</v>
          </cell>
          <cell r="C577" t="str">
            <v>REDONDO DE SALVADO V (CRUDO)</v>
          </cell>
          <cell r="D577">
            <v>0</v>
          </cell>
          <cell r="E577">
            <v>9000</v>
          </cell>
          <cell r="F577">
            <v>7380</v>
          </cell>
          <cell r="G577">
            <v>7650</v>
          </cell>
          <cell r="H577">
            <v>8100</v>
          </cell>
          <cell r="I577">
            <v>8550</v>
          </cell>
          <cell r="L577" t="str">
            <v/>
          </cell>
          <cell r="N577">
            <v>1932.19145</v>
          </cell>
        </row>
        <row r="578">
          <cell r="A578" t="str">
            <v>2409</v>
          </cell>
          <cell r="B578" t="str">
            <v>LATA CRUDA</v>
          </cell>
          <cell r="C578" t="str">
            <v>CHIPS (CRUDO)</v>
          </cell>
          <cell r="D578">
            <v>0</v>
          </cell>
          <cell r="E578">
            <v>9000</v>
          </cell>
          <cell r="F578">
            <v>7380</v>
          </cell>
          <cell r="G578">
            <v>7650</v>
          </cell>
          <cell r="H578">
            <v>8100</v>
          </cell>
          <cell r="I578">
            <v>8550</v>
          </cell>
          <cell r="L578" t="str">
            <v/>
          </cell>
          <cell r="N578">
            <v>0</v>
          </cell>
        </row>
        <row r="579">
          <cell r="A579" t="str">
            <v>2410</v>
          </cell>
          <cell r="B579" t="str">
            <v>LATA CRUDA</v>
          </cell>
          <cell r="C579" t="str">
            <v>PAN HAMBURGUESA CHICO ( 20 UNIDADES ) (CRUDO)</v>
          </cell>
          <cell r="D579">
            <v>0</v>
          </cell>
          <cell r="E579">
            <v>8000</v>
          </cell>
          <cell r="F579">
            <v>6560</v>
          </cell>
          <cell r="G579">
            <v>6800</v>
          </cell>
          <cell r="H579">
            <v>7200</v>
          </cell>
          <cell r="I579">
            <v>7600</v>
          </cell>
          <cell r="L579" t="str">
            <v/>
          </cell>
          <cell r="N579">
            <v>1926.8984500000001</v>
          </cell>
        </row>
        <row r="580">
          <cell r="A580" t="str">
            <v>2411</v>
          </cell>
          <cell r="B580" t="str">
            <v>LATA CRUDA</v>
          </cell>
          <cell r="C580" t="str">
            <v>PAN HAMBURGUESA GRANDE (CRUDO)</v>
          </cell>
          <cell r="D580">
            <v>0</v>
          </cell>
          <cell r="E580">
            <v>9000</v>
          </cell>
          <cell r="F580">
            <v>7380</v>
          </cell>
          <cell r="G580">
            <v>7650</v>
          </cell>
          <cell r="H580">
            <v>8100</v>
          </cell>
          <cell r="I580">
            <v>8550</v>
          </cell>
          <cell r="L580" t="str">
            <v/>
          </cell>
          <cell r="N580">
            <v>1926.8984500000001</v>
          </cell>
        </row>
        <row r="581">
          <cell r="A581" t="str">
            <v>2413</v>
          </cell>
          <cell r="B581" t="str">
            <v>LATA CRUDA</v>
          </cell>
          <cell r="C581" t="str">
            <v>PAN PANCHO CHICO ( 30 UNIDADES ) (CRUDO)</v>
          </cell>
          <cell r="D581">
            <v>0</v>
          </cell>
          <cell r="E581">
            <v>11200</v>
          </cell>
          <cell r="F581">
            <v>9180</v>
          </cell>
          <cell r="G581">
            <v>9520</v>
          </cell>
          <cell r="H581">
            <v>10080</v>
          </cell>
          <cell r="I581">
            <v>10640</v>
          </cell>
          <cell r="L581" t="str">
            <v/>
          </cell>
          <cell r="N581">
            <v>1027.1461666666669</v>
          </cell>
        </row>
        <row r="582">
          <cell r="A582" t="str">
            <v>2414</v>
          </cell>
          <cell r="B582" t="str">
            <v>LATA CRUDA</v>
          </cell>
          <cell r="C582" t="str">
            <v>PAN SUPERPANCHO ( 30 UNIDADES ) (CRUDO)</v>
          </cell>
          <cell r="D582">
            <v>0</v>
          </cell>
          <cell r="E582">
            <v>12000</v>
          </cell>
          <cell r="F582">
            <v>9840</v>
          </cell>
          <cell r="G582">
            <v>10200</v>
          </cell>
          <cell r="H582">
            <v>10800</v>
          </cell>
          <cell r="I582">
            <v>11400</v>
          </cell>
          <cell r="L582" t="str">
            <v/>
          </cell>
          <cell r="N582">
            <v>3081.4384999999997</v>
          </cell>
        </row>
        <row r="583">
          <cell r="A583" t="str">
            <v>2416</v>
          </cell>
          <cell r="B583" t="str">
            <v>LATA CRUDA</v>
          </cell>
          <cell r="C583" t="str">
            <v>PAN DE CAMPO (CRUDO)</v>
          </cell>
          <cell r="D583">
            <v>0</v>
          </cell>
          <cell r="E583">
            <v>7900</v>
          </cell>
          <cell r="F583">
            <v>6480</v>
          </cell>
          <cell r="G583">
            <v>6720</v>
          </cell>
          <cell r="H583">
            <v>7110</v>
          </cell>
          <cell r="I583">
            <v>7510</v>
          </cell>
          <cell r="L583" t="str">
            <v/>
          </cell>
          <cell r="N583">
            <v>1533.3851875</v>
          </cell>
        </row>
        <row r="584">
          <cell r="A584" t="str">
            <v>2417</v>
          </cell>
          <cell r="B584" t="str">
            <v>LATA CRUDA</v>
          </cell>
          <cell r="C584" t="str">
            <v>PAN ARABE ( lata cruda x 6 ) (CRUDO)</v>
          </cell>
          <cell r="D584">
            <v>0</v>
          </cell>
          <cell r="E584">
            <v>2417</v>
          </cell>
          <cell r="F584">
            <v>1980</v>
          </cell>
          <cell r="G584">
            <v>2050</v>
          </cell>
          <cell r="H584">
            <v>2180</v>
          </cell>
          <cell r="I584">
            <v>2300</v>
          </cell>
          <cell r="L584" t="str">
            <v/>
          </cell>
          <cell r="N584">
            <v>268.19956989247311</v>
          </cell>
        </row>
        <row r="585">
          <cell r="A585" t="str">
            <v>2418</v>
          </cell>
          <cell r="B585" t="str">
            <v>LATA CRUDA</v>
          </cell>
          <cell r="C585" t="str">
            <v>TORTA FRITA X UNIDAD (CRUDO)</v>
          </cell>
          <cell r="D585">
            <v>0</v>
          </cell>
          <cell r="E585">
            <v>450</v>
          </cell>
          <cell r="F585">
            <v>370</v>
          </cell>
          <cell r="G585">
            <v>380</v>
          </cell>
          <cell r="H585">
            <v>410</v>
          </cell>
          <cell r="I585">
            <v>430</v>
          </cell>
          <cell r="L585" t="str">
            <v/>
          </cell>
          <cell r="N585">
            <v>40.065674999999999</v>
          </cell>
        </row>
        <row r="586">
          <cell r="A586" t="str">
            <v>2419</v>
          </cell>
          <cell r="B586" t="str">
            <v>LATA CRUDA</v>
          </cell>
          <cell r="C586" t="str">
            <v>PLANCHA CON CHICHARRON ( 3,1 KG ) (CRUDO)</v>
          </cell>
          <cell r="D586">
            <v>0</v>
          </cell>
          <cell r="E586">
            <v>14900</v>
          </cell>
          <cell r="F586">
            <v>12220</v>
          </cell>
          <cell r="G586">
            <v>12670</v>
          </cell>
          <cell r="H586">
            <v>13410</v>
          </cell>
          <cell r="I586">
            <v>14160</v>
          </cell>
          <cell r="L586" t="str">
            <v/>
          </cell>
          <cell r="N586">
            <v>2022.48396</v>
          </cell>
        </row>
        <row r="587">
          <cell r="A587" t="str">
            <v>2420</v>
          </cell>
          <cell r="B587" t="str">
            <v>LATA CRUDA</v>
          </cell>
          <cell r="C587" t="str">
            <v>PLANCHA CON GRASA (3,5 KG) (CRUDO)</v>
          </cell>
          <cell r="D587">
            <v>0</v>
          </cell>
          <cell r="E587">
            <v>14900</v>
          </cell>
          <cell r="F587">
            <v>12220</v>
          </cell>
          <cell r="G587">
            <v>12670</v>
          </cell>
          <cell r="H587">
            <v>13410</v>
          </cell>
          <cell r="I587">
            <v>14160</v>
          </cell>
          <cell r="L587" t="str">
            <v/>
          </cell>
          <cell r="N587">
            <v>1542.48396</v>
          </cell>
        </row>
        <row r="588">
          <cell r="A588" t="str">
            <v>2421</v>
          </cell>
          <cell r="B588" t="str">
            <v>LATA CRUDA</v>
          </cell>
          <cell r="C588" t="str">
            <v>CUADRADITOS (CRUDO)</v>
          </cell>
          <cell r="D588">
            <v>0</v>
          </cell>
          <cell r="E588">
            <v>10200</v>
          </cell>
          <cell r="F588">
            <v>8360</v>
          </cell>
          <cell r="G588">
            <v>8670</v>
          </cell>
          <cell r="H588">
            <v>9180</v>
          </cell>
          <cell r="I588">
            <v>9690</v>
          </cell>
          <cell r="L588" t="str">
            <v/>
          </cell>
          <cell r="N588">
            <v>771.24198000000001</v>
          </cell>
        </row>
        <row r="589">
          <cell r="A589" t="str">
            <v>2422</v>
          </cell>
          <cell r="B589" t="str">
            <v>LATA CRUDA</v>
          </cell>
          <cell r="C589" t="str">
            <v>CHIPA (CRUDO)</v>
          </cell>
          <cell r="D589">
            <v>0</v>
          </cell>
          <cell r="E589">
            <v>30400</v>
          </cell>
          <cell r="F589">
            <v>24930</v>
          </cell>
          <cell r="G589">
            <v>25840</v>
          </cell>
          <cell r="H589">
            <v>27360</v>
          </cell>
          <cell r="I589">
            <v>28880</v>
          </cell>
          <cell r="L589" t="str">
            <v/>
          </cell>
          <cell r="N589">
            <v>7591.9675555555559</v>
          </cell>
        </row>
        <row r="590">
          <cell r="A590" t="str">
            <v>2423</v>
          </cell>
          <cell r="B590" t="str">
            <v>LATA CRUDA</v>
          </cell>
          <cell r="C590" t="str">
            <v>CREMONAS (CRUDO)</v>
          </cell>
          <cell r="D590">
            <v>0</v>
          </cell>
          <cell r="E590">
            <v>17280</v>
          </cell>
          <cell r="F590">
            <v>14170</v>
          </cell>
          <cell r="G590">
            <v>14690</v>
          </cell>
          <cell r="H590">
            <v>15550</v>
          </cell>
          <cell r="I590">
            <v>16420</v>
          </cell>
          <cell r="L590" t="str">
            <v/>
          </cell>
          <cell r="N590">
            <v>4526.1851333333334</v>
          </cell>
        </row>
        <row r="591">
          <cell r="A591" t="str">
            <v>2424</v>
          </cell>
          <cell r="B591" t="str">
            <v>LATA CRUDA</v>
          </cell>
          <cell r="C591" t="str">
            <v>CREMONAS AKTIVAS (C/ CEREAL) (CRUDO)</v>
          </cell>
          <cell r="D591">
            <v>0</v>
          </cell>
          <cell r="E591">
            <v>20000</v>
          </cell>
          <cell r="F591">
            <v>16400</v>
          </cell>
          <cell r="G591">
            <v>17000</v>
          </cell>
          <cell r="H591">
            <v>18000</v>
          </cell>
          <cell r="I591">
            <v>19000</v>
          </cell>
          <cell r="L591" t="str">
            <v/>
          </cell>
          <cell r="N591">
            <v>1961.6919999999998</v>
          </cell>
        </row>
        <row r="592">
          <cell r="A592" t="str">
            <v>2425</v>
          </cell>
          <cell r="B592" t="str">
            <v>LATA CRUDA</v>
          </cell>
          <cell r="C592" t="str">
            <v>CREMONITAS (CRUDO)</v>
          </cell>
          <cell r="D592">
            <v>0</v>
          </cell>
          <cell r="E592">
            <v>10200</v>
          </cell>
          <cell r="F592">
            <v>8360</v>
          </cell>
          <cell r="G592">
            <v>8670</v>
          </cell>
          <cell r="H592">
            <v>9180</v>
          </cell>
          <cell r="I592">
            <v>9690</v>
          </cell>
          <cell r="L592" t="str">
            <v/>
          </cell>
          <cell r="N592">
            <v>1867.2683428571427</v>
          </cell>
        </row>
        <row r="593">
          <cell r="A593" t="str">
            <v>2426</v>
          </cell>
          <cell r="B593" t="str">
            <v>LATA CRUDA</v>
          </cell>
          <cell r="C593" t="str">
            <v>CREMONA CON CHICHARRON (CRUDO)</v>
          </cell>
          <cell r="D593">
            <v>0</v>
          </cell>
          <cell r="E593">
            <v>20900</v>
          </cell>
          <cell r="F593">
            <v>17140</v>
          </cell>
          <cell r="G593">
            <v>17770</v>
          </cell>
          <cell r="H593">
            <v>18810</v>
          </cell>
          <cell r="I593">
            <v>19860</v>
          </cell>
          <cell r="L593" t="str">
            <v/>
          </cell>
          <cell r="N593">
            <v>5326.1851333333334</v>
          </cell>
        </row>
        <row r="594">
          <cell r="A594" t="str">
            <v>2428</v>
          </cell>
          <cell r="B594" t="str">
            <v>LATA CRUDA</v>
          </cell>
          <cell r="C594" t="str">
            <v>CUERNITOS (CRUDO)</v>
          </cell>
          <cell r="D594">
            <v>0</v>
          </cell>
          <cell r="E594">
            <v>20900</v>
          </cell>
          <cell r="F594">
            <v>17140</v>
          </cell>
          <cell r="G594">
            <v>17770</v>
          </cell>
          <cell r="H594">
            <v>18810</v>
          </cell>
          <cell r="I594">
            <v>19860</v>
          </cell>
          <cell r="L594" t="str">
            <v/>
          </cell>
          <cell r="N594">
            <v>2019.0497999999998</v>
          </cell>
        </row>
        <row r="595">
          <cell r="A595" t="str">
            <v>2429</v>
          </cell>
          <cell r="B595" t="str">
            <v>LATA CRUDA</v>
          </cell>
          <cell r="C595" t="str">
            <v>CREMONA J Y Q (CRUDO)</v>
          </cell>
          <cell r="D595">
            <v>0</v>
          </cell>
          <cell r="E595">
            <v>26700</v>
          </cell>
          <cell r="F595">
            <v>21890</v>
          </cell>
          <cell r="G595">
            <v>22700</v>
          </cell>
          <cell r="H595">
            <v>24030</v>
          </cell>
          <cell r="I595">
            <v>25370</v>
          </cell>
          <cell r="L595" t="str">
            <v/>
          </cell>
          <cell r="N595">
            <v>5343.4884666666667</v>
          </cell>
        </row>
        <row r="596">
          <cell r="A596" t="str">
            <v>2430</v>
          </cell>
          <cell r="B596" t="str">
            <v>LATA CRUDA</v>
          </cell>
          <cell r="C596" t="str">
            <v>CREMONA DULCE (CRUDO)</v>
          </cell>
          <cell r="D596">
            <v>0</v>
          </cell>
          <cell r="E596">
            <v>18900</v>
          </cell>
          <cell r="F596">
            <v>15500</v>
          </cell>
          <cell r="G596">
            <v>16070</v>
          </cell>
          <cell r="H596">
            <v>17010</v>
          </cell>
          <cell r="I596">
            <v>17960</v>
          </cell>
          <cell r="L596" t="str">
            <v/>
          </cell>
          <cell r="N596">
            <v>4734.8951333333334</v>
          </cell>
        </row>
        <row r="597">
          <cell r="A597" t="str">
            <v>2431</v>
          </cell>
          <cell r="B597" t="str">
            <v>LATA CRUDA</v>
          </cell>
          <cell r="C597" t="str">
            <v>FIGASSA (CRUDO)</v>
          </cell>
          <cell r="D597">
            <v>0</v>
          </cell>
          <cell r="E597">
            <v>12000</v>
          </cell>
          <cell r="F597">
            <v>9840</v>
          </cell>
          <cell r="G597">
            <v>10200</v>
          </cell>
          <cell r="H597">
            <v>10800</v>
          </cell>
          <cell r="I597">
            <v>11400</v>
          </cell>
          <cell r="L597" t="str">
            <v/>
          </cell>
          <cell r="N597">
            <v>1962.8467999999998</v>
          </cell>
        </row>
        <row r="598">
          <cell r="A598" t="str">
            <v>2442</v>
          </cell>
          <cell r="B598" t="str">
            <v>LATA CRUDA</v>
          </cell>
          <cell r="C598" t="str">
            <v>CROISSANT (CRUDO)</v>
          </cell>
          <cell r="D598">
            <v>0</v>
          </cell>
          <cell r="E598">
            <v>18400</v>
          </cell>
          <cell r="F598">
            <v>15090</v>
          </cell>
          <cell r="G598">
            <v>15640</v>
          </cell>
          <cell r="H598">
            <v>16560</v>
          </cell>
          <cell r="I598">
            <v>17480</v>
          </cell>
          <cell r="L598" t="str">
            <v/>
          </cell>
          <cell r="N598">
            <v>2889.8002666666671</v>
          </cell>
        </row>
        <row r="599">
          <cell r="A599" t="str">
            <v>2443</v>
          </cell>
          <cell r="B599" t="str">
            <v>LATA CRUDA</v>
          </cell>
          <cell r="C599" t="str">
            <v>MEDIA LUNA MANTECA (CRUDO)</v>
          </cell>
          <cell r="D599">
            <v>0</v>
          </cell>
          <cell r="E599">
            <v>22300</v>
          </cell>
          <cell r="F599">
            <v>18290</v>
          </cell>
          <cell r="G599">
            <v>18960</v>
          </cell>
          <cell r="H599">
            <v>20070</v>
          </cell>
          <cell r="I599">
            <v>21190</v>
          </cell>
          <cell r="L599" t="str">
            <v/>
          </cell>
          <cell r="N599">
            <v>2726.0349851851852</v>
          </cell>
        </row>
        <row r="600">
          <cell r="A600" t="str">
            <v>2444</v>
          </cell>
          <cell r="B600" t="str">
            <v>LATA CRUDA</v>
          </cell>
          <cell r="C600" t="str">
            <v>VIGILANTES MANTECA (CRUDO)</v>
          </cell>
          <cell r="D600">
            <v>0</v>
          </cell>
          <cell r="E600">
            <v>22300</v>
          </cell>
          <cell r="F600">
            <v>18290</v>
          </cell>
          <cell r="G600">
            <v>18960</v>
          </cell>
          <cell r="H600">
            <v>20070</v>
          </cell>
          <cell r="I600">
            <v>21190</v>
          </cell>
          <cell r="L600" t="str">
            <v/>
          </cell>
          <cell r="N600">
            <v>0</v>
          </cell>
        </row>
        <row r="601">
          <cell r="A601" t="str">
            <v>2445</v>
          </cell>
          <cell r="B601" t="str">
            <v>LATA CRUDA</v>
          </cell>
          <cell r="C601" t="str">
            <v>PAN DE LECHE (CRUDO)</v>
          </cell>
          <cell r="D601">
            <v>0</v>
          </cell>
          <cell r="E601">
            <v>18400</v>
          </cell>
          <cell r="F601">
            <v>15090</v>
          </cell>
          <cell r="G601">
            <v>15640</v>
          </cell>
          <cell r="H601">
            <v>16560</v>
          </cell>
          <cell r="I601">
            <v>17480</v>
          </cell>
          <cell r="L601" t="str">
            <v/>
          </cell>
          <cell r="N601">
            <v>2142.7334074074074</v>
          </cell>
        </row>
        <row r="602">
          <cell r="A602" t="str">
            <v>2446</v>
          </cell>
          <cell r="B602" t="str">
            <v>LATA CRUDA</v>
          </cell>
          <cell r="C602" t="str">
            <v>TORTITA NEGRA (CRUDO)</v>
          </cell>
          <cell r="D602">
            <v>0</v>
          </cell>
          <cell r="E602">
            <v>18400</v>
          </cell>
          <cell r="F602">
            <v>15090</v>
          </cell>
          <cell r="G602">
            <v>15640</v>
          </cell>
          <cell r="H602">
            <v>16560</v>
          </cell>
          <cell r="I602">
            <v>17480</v>
          </cell>
          <cell r="L602" t="str">
            <v/>
          </cell>
          <cell r="N602">
            <v>2583.3754296296297</v>
          </cell>
        </row>
        <row r="603">
          <cell r="A603" t="str">
            <v>2448</v>
          </cell>
          <cell r="B603" t="str">
            <v>LATA CRUDA</v>
          </cell>
          <cell r="C603" t="str">
            <v>SURTIDO DE MANTECA (CRUDO)</v>
          </cell>
          <cell r="D603">
            <v>0</v>
          </cell>
          <cell r="E603">
            <v>20900</v>
          </cell>
          <cell r="F603">
            <v>17140</v>
          </cell>
          <cell r="G603">
            <v>17770</v>
          </cell>
          <cell r="H603">
            <v>18810</v>
          </cell>
          <cell r="I603">
            <v>19860</v>
          </cell>
          <cell r="L603" t="str">
            <v/>
          </cell>
          <cell r="N603">
            <v>2726.0349851851852</v>
          </cell>
        </row>
        <row r="604">
          <cell r="A604" t="str">
            <v>2449</v>
          </cell>
          <cell r="B604" t="str">
            <v>LATA CRUDA</v>
          </cell>
          <cell r="C604" t="str">
            <v>LENGUITA FACTURAS (CRUDO)</v>
          </cell>
          <cell r="D604">
            <v>0</v>
          </cell>
          <cell r="E604">
            <v>14900</v>
          </cell>
          <cell r="F604">
            <v>12220</v>
          </cell>
          <cell r="G604">
            <v>12670</v>
          </cell>
          <cell r="H604">
            <v>13410</v>
          </cell>
          <cell r="I604">
            <v>14160</v>
          </cell>
          <cell r="L604" t="str">
            <v/>
          </cell>
          <cell r="N604">
            <v>494.18377142857139</v>
          </cell>
        </row>
        <row r="605">
          <cell r="A605" t="str">
            <v>2450</v>
          </cell>
          <cell r="B605" t="str">
            <v>LATA CRUDA</v>
          </cell>
          <cell r="C605" t="str">
            <v>MEDIA LUNA GRASA (CRUDO)</v>
          </cell>
          <cell r="D605">
            <v>0</v>
          </cell>
          <cell r="E605">
            <v>18500</v>
          </cell>
          <cell r="F605">
            <v>15170</v>
          </cell>
          <cell r="G605">
            <v>15730</v>
          </cell>
          <cell r="H605">
            <v>16650</v>
          </cell>
          <cell r="I605">
            <v>17580</v>
          </cell>
          <cell r="L605" t="str">
            <v/>
          </cell>
          <cell r="N605">
            <v>1200.1366666666668</v>
          </cell>
        </row>
        <row r="606">
          <cell r="A606" t="str">
            <v>2451</v>
          </cell>
          <cell r="B606" t="str">
            <v>LATA CRUDA</v>
          </cell>
          <cell r="C606" t="str">
            <v>PALITOS DE GRASA (CRUDO)</v>
          </cell>
          <cell r="D606">
            <v>0</v>
          </cell>
          <cell r="E606">
            <v>14000</v>
          </cell>
          <cell r="F606">
            <v>11480</v>
          </cell>
          <cell r="G606">
            <v>11900</v>
          </cell>
          <cell r="H606">
            <v>12600</v>
          </cell>
          <cell r="I606">
            <v>13300</v>
          </cell>
          <cell r="L606" t="str">
            <v/>
          </cell>
          <cell r="N606">
            <v>576.54773333333321</v>
          </cell>
        </row>
        <row r="607">
          <cell r="A607" t="str">
            <v>2452</v>
          </cell>
          <cell r="B607" t="str">
            <v>LATA CRUDA</v>
          </cell>
          <cell r="C607" t="str">
            <v>SACRAMENTO  (CRUDO)</v>
          </cell>
          <cell r="D607">
            <v>0</v>
          </cell>
          <cell r="E607">
            <v>24000</v>
          </cell>
          <cell r="F607">
            <v>19680</v>
          </cell>
          <cell r="G607">
            <v>20400</v>
          </cell>
          <cell r="H607">
            <v>21600</v>
          </cell>
          <cell r="I607">
            <v>22800</v>
          </cell>
          <cell r="L607" t="str">
            <v/>
          </cell>
          <cell r="N607">
            <v>1326.0574499999998</v>
          </cell>
        </row>
        <row r="608">
          <cell r="A608" t="str">
            <v>2454</v>
          </cell>
          <cell r="B608" t="str">
            <v>LATA CRUDA</v>
          </cell>
          <cell r="C608" t="str">
            <v>SURTIDO DE GRASA (VIGILANTE) (CRUDO)</v>
          </cell>
          <cell r="D608">
            <v>0</v>
          </cell>
          <cell r="E608">
            <v>20900</v>
          </cell>
          <cell r="F608">
            <v>17140</v>
          </cell>
          <cell r="G608">
            <v>17770</v>
          </cell>
          <cell r="H608">
            <v>18810</v>
          </cell>
          <cell r="I608">
            <v>19860</v>
          </cell>
          <cell r="L608" t="str">
            <v/>
          </cell>
          <cell r="N608">
            <v>752.01878260869557</v>
          </cell>
        </row>
        <row r="609">
          <cell r="A609" t="str">
            <v>2455</v>
          </cell>
          <cell r="B609" t="str">
            <v>LATA CRUDA</v>
          </cell>
          <cell r="C609" t="str">
            <v>RECTANGULOS HOJALDRE ( 30 UNIDADES ) (CRUDO)</v>
          </cell>
          <cell r="D609">
            <v>0</v>
          </cell>
          <cell r="E609">
            <v>18000</v>
          </cell>
          <cell r="F609">
            <v>14760</v>
          </cell>
          <cell r="G609">
            <v>15300</v>
          </cell>
          <cell r="H609">
            <v>16200</v>
          </cell>
          <cell r="I609">
            <v>17100</v>
          </cell>
          <cell r="L609" t="str">
            <v/>
          </cell>
          <cell r="N609">
            <v>2486.5494666666664</v>
          </cell>
        </row>
        <row r="610">
          <cell r="A610" t="str">
            <v>2456</v>
          </cell>
          <cell r="B610" t="str">
            <v>LATA CRUDA</v>
          </cell>
          <cell r="C610" t="str">
            <v>VAL AU VENT ( REDONDO ) (CRUDO)</v>
          </cell>
          <cell r="D610">
            <v>0</v>
          </cell>
          <cell r="E610">
            <v>18000</v>
          </cell>
          <cell r="F610">
            <v>14760</v>
          </cell>
          <cell r="G610">
            <v>15300</v>
          </cell>
          <cell r="H610">
            <v>16200</v>
          </cell>
          <cell r="I610">
            <v>17100</v>
          </cell>
          <cell r="L610" t="str">
            <v/>
          </cell>
          <cell r="N610">
            <v>2486.5494666666664</v>
          </cell>
        </row>
        <row r="611">
          <cell r="A611" t="str">
            <v>2457</v>
          </cell>
          <cell r="B611" t="str">
            <v>LATA CRUDA</v>
          </cell>
          <cell r="C611" t="str">
            <v>PALMERAS (CRUDO)</v>
          </cell>
          <cell r="D611">
            <v>0</v>
          </cell>
          <cell r="E611">
            <v>16000</v>
          </cell>
          <cell r="F611">
            <v>13120</v>
          </cell>
          <cell r="G611">
            <v>13600</v>
          </cell>
          <cell r="H611">
            <v>14400</v>
          </cell>
          <cell r="I611">
            <v>15200</v>
          </cell>
          <cell r="L611" t="str">
            <v/>
          </cell>
          <cell r="N611">
            <v>0</v>
          </cell>
        </row>
        <row r="612">
          <cell r="A612" t="str">
            <v>2458</v>
          </cell>
          <cell r="B612" t="str">
            <v>LATA CRUDA</v>
          </cell>
          <cell r="C612" t="str">
            <v>CAÑONCITOS (CRUDO)</v>
          </cell>
          <cell r="D612">
            <v>0</v>
          </cell>
          <cell r="E612">
            <v>20000</v>
          </cell>
          <cell r="F612">
            <v>16400</v>
          </cell>
          <cell r="G612">
            <v>17000</v>
          </cell>
          <cell r="H612">
            <v>18000</v>
          </cell>
          <cell r="I612">
            <v>19000</v>
          </cell>
          <cell r="L612" t="str">
            <v/>
          </cell>
          <cell r="N612">
            <v>2376.1401249999999</v>
          </cell>
        </row>
        <row r="613">
          <cell r="A613" t="str">
            <v>2460</v>
          </cell>
          <cell r="B613" t="str">
            <v>LATA CRUDA</v>
          </cell>
          <cell r="C613" t="str">
            <v>LATA PEBETE ( 25 UNIDADES ) (CRUDO)</v>
          </cell>
          <cell r="D613">
            <v>0</v>
          </cell>
          <cell r="E613">
            <v>12000</v>
          </cell>
          <cell r="F613">
            <v>9840</v>
          </cell>
          <cell r="G613">
            <v>10200</v>
          </cell>
          <cell r="H613">
            <v>10800</v>
          </cell>
          <cell r="I613">
            <v>11400</v>
          </cell>
          <cell r="L613" t="str">
            <v/>
          </cell>
          <cell r="N613">
            <v>5159.1733333333332</v>
          </cell>
        </row>
        <row r="614">
          <cell r="A614" t="str">
            <v>2461</v>
          </cell>
          <cell r="B614" t="str">
            <v>LATA CRUDA</v>
          </cell>
          <cell r="C614" t="str">
            <v>LATA SABORIZADO (CRUDO)</v>
          </cell>
          <cell r="D614">
            <v>0</v>
          </cell>
          <cell r="E614">
            <v>16000</v>
          </cell>
          <cell r="F614">
            <v>13120</v>
          </cell>
          <cell r="G614">
            <v>13600</v>
          </cell>
          <cell r="H614">
            <v>14400</v>
          </cell>
          <cell r="I614">
            <v>15200</v>
          </cell>
          <cell r="L614" t="str">
            <v/>
          </cell>
          <cell r="N614">
            <v>2069.48405</v>
          </cell>
        </row>
        <row r="615">
          <cell r="A615" t="str">
            <v>2463</v>
          </cell>
          <cell r="B615" t="str">
            <v>LATA CRUDA</v>
          </cell>
          <cell r="C615" t="str">
            <v>ROSCA DE PASCUA X LATA (3uni) (CRUDO)</v>
          </cell>
          <cell r="D615">
            <v>0</v>
          </cell>
          <cell r="E615">
            <v>14900</v>
          </cell>
          <cell r="F615">
            <v>12220</v>
          </cell>
          <cell r="G615">
            <v>12670</v>
          </cell>
          <cell r="H615">
            <v>13410</v>
          </cell>
          <cell r="I615">
            <v>14160</v>
          </cell>
          <cell r="L615" t="str">
            <v/>
          </cell>
          <cell r="N615">
            <v>0</v>
          </cell>
        </row>
        <row r="616">
          <cell r="A616" t="str">
            <v>2470</v>
          </cell>
          <cell r="B616" t="str">
            <v>LATA CRUDA</v>
          </cell>
          <cell r="C616" t="str">
            <v>CUADRADITOS CON CHICHARRON (CRUDO)</v>
          </cell>
          <cell r="D616">
            <v>0</v>
          </cell>
          <cell r="E616">
            <v>11600</v>
          </cell>
          <cell r="F616">
            <v>9510</v>
          </cell>
          <cell r="G616">
            <v>9860</v>
          </cell>
          <cell r="H616">
            <v>10440</v>
          </cell>
          <cell r="I616">
            <v>11020</v>
          </cell>
          <cell r="L616" t="str">
            <v/>
          </cell>
          <cell r="N616">
            <v>1011.24198</v>
          </cell>
        </row>
        <row r="617">
          <cell r="A617" t="str">
            <v>2471</v>
          </cell>
          <cell r="B617" t="str">
            <v>LATA CRUDA</v>
          </cell>
          <cell r="C617" t="str">
            <v>PALITOS DE QUESO  (1,0 KG ) (CRUDO)</v>
          </cell>
          <cell r="D617">
            <v>0</v>
          </cell>
          <cell r="E617">
            <v>14900</v>
          </cell>
          <cell r="F617">
            <v>12220</v>
          </cell>
          <cell r="G617">
            <v>12670</v>
          </cell>
          <cell r="H617">
            <v>13410</v>
          </cell>
          <cell r="I617">
            <v>14160</v>
          </cell>
          <cell r="L617" t="str">
            <v/>
          </cell>
          <cell r="N617">
            <v>3223.3698571428567</v>
          </cell>
        </row>
        <row r="618">
          <cell r="A618" t="str">
            <v>2472</v>
          </cell>
          <cell r="B618" t="str">
            <v>LATA CRUDA</v>
          </cell>
          <cell r="C618" t="str">
            <v>GALLETA DE QUESO (1,5KG ) (CRUDO)</v>
          </cell>
          <cell r="D618">
            <v>0</v>
          </cell>
          <cell r="E618">
            <v>19000</v>
          </cell>
          <cell r="F618">
            <v>15580</v>
          </cell>
          <cell r="G618">
            <v>16150</v>
          </cell>
          <cell r="H618">
            <v>17100</v>
          </cell>
          <cell r="I618">
            <v>18050</v>
          </cell>
          <cell r="L618" t="str">
            <v/>
          </cell>
          <cell r="N618">
            <v>1551.3092999999999</v>
          </cell>
        </row>
        <row r="619">
          <cell r="A619" t="str">
            <v>2473</v>
          </cell>
          <cell r="B619" t="str">
            <v>LATA CRUDA</v>
          </cell>
          <cell r="C619" t="str">
            <v>SCON DE QUESO (1,7 KG ) (CRUDO)</v>
          </cell>
          <cell r="D619">
            <v>0</v>
          </cell>
          <cell r="E619">
            <v>30000</v>
          </cell>
          <cell r="F619">
            <v>24600</v>
          </cell>
          <cell r="G619">
            <v>25500</v>
          </cell>
          <cell r="H619">
            <v>27000</v>
          </cell>
          <cell r="I619">
            <v>28500</v>
          </cell>
          <cell r="L619" t="str">
            <v/>
          </cell>
          <cell r="N619">
            <v>6270.0685502645501</v>
          </cell>
        </row>
        <row r="620">
          <cell r="A620" t="str">
            <v>2475</v>
          </cell>
          <cell r="B620" t="str">
            <v>LATA CRUDA</v>
          </cell>
          <cell r="C620" t="str">
            <v>CUADRADOS DE HOJALDRE ( 30 UNIDADES ) (CRUDO)</v>
          </cell>
          <cell r="D620">
            <v>0</v>
          </cell>
          <cell r="E620">
            <v>18000</v>
          </cell>
          <cell r="F620">
            <v>14760</v>
          </cell>
          <cell r="G620">
            <v>15300</v>
          </cell>
          <cell r="H620">
            <v>16200</v>
          </cell>
          <cell r="I620">
            <v>17100</v>
          </cell>
          <cell r="L620" t="str">
            <v/>
          </cell>
          <cell r="N620">
            <v>2486.5494666666664</v>
          </cell>
        </row>
        <row r="621">
          <cell r="A621" t="str">
            <v>2480</v>
          </cell>
          <cell r="B621" t="str">
            <v>LATA CRUDA</v>
          </cell>
          <cell r="C621" t="str">
            <v>ZAPATILLAS ( 12 UNIDADES ) (CRUDO)</v>
          </cell>
          <cell r="D621">
            <v>0</v>
          </cell>
          <cell r="E621">
            <v>7900</v>
          </cell>
          <cell r="F621">
            <v>6480</v>
          </cell>
          <cell r="G621">
            <v>6720</v>
          </cell>
          <cell r="H621">
            <v>7110</v>
          </cell>
          <cell r="I621">
            <v>7510</v>
          </cell>
          <cell r="L621" t="str">
            <v/>
          </cell>
          <cell r="N621">
            <v>1921.2936666666669</v>
          </cell>
        </row>
        <row r="622">
          <cell r="A622" t="str">
            <v>2481</v>
          </cell>
          <cell r="B622" t="str">
            <v>LATA CRUDA</v>
          </cell>
          <cell r="C622" t="str">
            <v>CUADRADITOS CON AKTIVO (CRUDO)</v>
          </cell>
          <cell r="D622">
            <v>0</v>
          </cell>
          <cell r="E622">
            <v>18000</v>
          </cell>
          <cell r="F622">
            <v>14760</v>
          </cell>
          <cell r="G622">
            <v>15300</v>
          </cell>
          <cell r="H622">
            <v>16200</v>
          </cell>
          <cell r="I622">
            <v>17100</v>
          </cell>
          <cell r="L622" t="str">
            <v/>
          </cell>
          <cell r="N622">
            <v>3125.2219999999998</v>
          </cell>
        </row>
        <row r="623">
          <cell r="A623" t="str">
            <v>2484</v>
          </cell>
          <cell r="B623" t="str">
            <v>LATA CRUDA</v>
          </cell>
          <cell r="C623" t="str">
            <v>BIZCOCHITO DE GRASA (CRUDO)</v>
          </cell>
          <cell r="D623">
            <v>0</v>
          </cell>
          <cell r="E623">
            <v>20900</v>
          </cell>
          <cell r="F623">
            <v>17140</v>
          </cell>
          <cell r="G623">
            <v>17770</v>
          </cell>
          <cell r="H623">
            <v>18810</v>
          </cell>
          <cell r="I623">
            <v>19860</v>
          </cell>
          <cell r="L623" t="str">
            <v/>
          </cell>
          <cell r="N623">
            <v>1794.7109333333331</v>
          </cell>
        </row>
        <row r="624">
          <cell r="A624" t="str">
            <v>2485</v>
          </cell>
          <cell r="B624" t="str">
            <v>LATA CRUDA</v>
          </cell>
          <cell r="C624" t="str">
            <v>SURTIDO DOBLE MANTECA (CRUDO)</v>
          </cell>
          <cell r="D624">
            <v>0</v>
          </cell>
          <cell r="E624">
            <v>22300</v>
          </cell>
          <cell r="F624">
            <v>18290</v>
          </cell>
          <cell r="G624">
            <v>18960</v>
          </cell>
          <cell r="H624">
            <v>20070</v>
          </cell>
          <cell r="I624">
            <v>21190</v>
          </cell>
          <cell r="L624" t="str">
            <v/>
          </cell>
          <cell r="N624">
            <v>3416.6936496296294</v>
          </cell>
        </row>
        <row r="625">
          <cell r="A625" t="str">
            <v>2486</v>
          </cell>
          <cell r="B625" t="str">
            <v>LATA CRUDA</v>
          </cell>
          <cell r="C625" t="str">
            <v>PAN DE CAMPO ZEPELLING BLANCO (CRUDO)</v>
          </cell>
          <cell r="D625">
            <v>0</v>
          </cell>
          <cell r="E625">
            <v>14700</v>
          </cell>
          <cell r="F625">
            <v>12050</v>
          </cell>
          <cell r="G625">
            <v>12500</v>
          </cell>
          <cell r="H625">
            <v>13230</v>
          </cell>
          <cell r="I625">
            <v>13970</v>
          </cell>
          <cell r="L625" t="str">
            <v/>
          </cell>
          <cell r="N625">
            <v>5406.9065777777778</v>
          </cell>
        </row>
        <row r="626">
          <cell r="A626" t="str">
            <v>2487</v>
          </cell>
          <cell r="B626" t="str">
            <v>LATA CRUDA</v>
          </cell>
          <cell r="C626" t="str">
            <v>PAN DE CAMPO ZEPELLING MULTICEREAL (CRUDO)</v>
          </cell>
          <cell r="D626">
            <v>0</v>
          </cell>
          <cell r="E626">
            <v>16100</v>
          </cell>
          <cell r="F626">
            <v>13200</v>
          </cell>
          <cell r="G626">
            <v>13690</v>
          </cell>
          <cell r="H626">
            <v>14490</v>
          </cell>
          <cell r="I626">
            <v>15300</v>
          </cell>
          <cell r="L626" t="str">
            <v/>
          </cell>
          <cell r="N626">
            <v>5406.9065777777778</v>
          </cell>
        </row>
        <row r="627">
          <cell r="A627" t="str">
            <v>2489</v>
          </cell>
          <cell r="B627" t="str">
            <v>LATA CRUDA</v>
          </cell>
          <cell r="C627" t="str">
            <v>CREMONITAS C/ CHICHARRON (CRUDO)</v>
          </cell>
          <cell r="D627">
            <v>0</v>
          </cell>
          <cell r="E627">
            <v>7700</v>
          </cell>
          <cell r="F627">
            <v>6310</v>
          </cell>
          <cell r="G627">
            <v>6550</v>
          </cell>
          <cell r="H627">
            <v>6930</v>
          </cell>
          <cell r="I627">
            <v>7320</v>
          </cell>
          <cell r="L627" t="str">
            <v/>
          </cell>
          <cell r="N627" t="str">
            <v/>
          </cell>
        </row>
        <row r="628">
          <cell r="A628" t="str">
            <v>2490</v>
          </cell>
          <cell r="B628" t="str">
            <v>LATA CRUDA</v>
          </cell>
          <cell r="C628" t="str">
            <v>LATA TRENSAS C/AKTIVO (CRUDO)</v>
          </cell>
          <cell r="D628">
            <v>0</v>
          </cell>
          <cell r="E628">
            <v>25000</v>
          </cell>
          <cell r="F628">
            <v>20500</v>
          </cell>
          <cell r="G628">
            <v>21250</v>
          </cell>
          <cell r="H628">
            <v>22500</v>
          </cell>
          <cell r="I628">
            <v>23750</v>
          </cell>
          <cell r="L628" t="str">
            <v/>
          </cell>
          <cell r="N628" t="str">
            <v/>
          </cell>
        </row>
        <row r="629">
          <cell r="A629" t="str">
            <v>2492</v>
          </cell>
          <cell r="B629" t="str">
            <v>LATA CRUDA</v>
          </cell>
          <cell r="C629" t="str">
            <v>ROCETA CRUDA (CRUDO)</v>
          </cell>
          <cell r="D629">
            <v>0</v>
          </cell>
          <cell r="E629">
            <v>14000</v>
          </cell>
          <cell r="F629">
            <v>11480</v>
          </cell>
          <cell r="G629">
            <v>11900</v>
          </cell>
          <cell r="H629">
            <v>12600</v>
          </cell>
          <cell r="I629">
            <v>13300</v>
          </cell>
          <cell r="L629" t="str">
            <v/>
          </cell>
          <cell r="N629" t="str">
            <v/>
          </cell>
        </row>
        <row r="630">
          <cell r="A630" t="str">
            <v>2493</v>
          </cell>
          <cell r="B630" t="str">
            <v>LATA CRUDA</v>
          </cell>
          <cell r="C630" t="str">
            <v>ALEMANAS CRUDA (CRUDO)</v>
          </cell>
          <cell r="D630">
            <v>0</v>
          </cell>
          <cell r="E630">
            <v>24000</v>
          </cell>
          <cell r="F630">
            <v>19680</v>
          </cell>
          <cell r="G630">
            <v>20400</v>
          </cell>
          <cell r="H630">
            <v>21600</v>
          </cell>
          <cell r="I630">
            <v>22800</v>
          </cell>
          <cell r="L630" t="str">
            <v/>
          </cell>
          <cell r="N630" t="str">
            <v/>
          </cell>
        </row>
        <row r="631">
          <cell r="A631" t="str">
            <v>2494</v>
          </cell>
          <cell r="B631" t="str">
            <v>LATA CRUDA</v>
          </cell>
          <cell r="C631" t="str">
            <v>VIENESA CRUDA (CRUDO)</v>
          </cell>
          <cell r="D631">
            <v>0</v>
          </cell>
          <cell r="E631">
            <v>25000</v>
          </cell>
          <cell r="F631">
            <v>20500</v>
          </cell>
          <cell r="G631">
            <v>21250</v>
          </cell>
          <cell r="H631">
            <v>22500</v>
          </cell>
          <cell r="I631">
            <v>23750</v>
          </cell>
          <cell r="L631" t="str">
            <v/>
          </cell>
          <cell r="N631" t="str">
            <v/>
          </cell>
        </row>
        <row r="632">
          <cell r="A632" t="str">
            <v>2497</v>
          </cell>
          <cell r="B632" t="str">
            <v>LATA CRUDA</v>
          </cell>
          <cell r="C632" t="str">
            <v>TIRAS CRUDO (36) (CRUDO)</v>
          </cell>
          <cell r="D632">
            <v>0</v>
          </cell>
          <cell r="E632">
            <v>22000</v>
          </cell>
          <cell r="F632">
            <v>18040</v>
          </cell>
          <cell r="G632">
            <v>18700</v>
          </cell>
          <cell r="H632">
            <v>19800</v>
          </cell>
          <cell r="I632">
            <v>20900</v>
          </cell>
          <cell r="L632" t="str">
            <v/>
          </cell>
          <cell r="N632" t="str">
            <v/>
          </cell>
        </row>
        <row r="633">
          <cell r="A633" t="str">
            <v>2498</v>
          </cell>
          <cell r="B633" t="str">
            <v>LATA CRUDA</v>
          </cell>
          <cell r="C633" t="str">
            <v>TAPONCITOS CRUDO (35) (CRUDO)</v>
          </cell>
          <cell r="D633">
            <v>0</v>
          </cell>
          <cell r="E633">
            <v>22000</v>
          </cell>
          <cell r="F633">
            <v>18040</v>
          </cell>
          <cell r="G633">
            <v>18700</v>
          </cell>
          <cell r="H633">
            <v>19800</v>
          </cell>
          <cell r="I633">
            <v>20900</v>
          </cell>
          <cell r="L633" t="str">
            <v/>
          </cell>
          <cell r="N633" t="str">
            <v/>
          </cell>
        </row>
        <row r="634">
          <cell r="A634" t="str">
            <v>2500</v>
          </cell>
          <cell r="B634" t="str">
            <v>LATA CRUDA</v>
          </cell>
          <cell r="C634" t="str">
            <v>FIGASSA SABORIZADA 2,5kg (CRUDO)</v>
          </cell>
          <cell r="D634">
            <v>0</v>
          </cell>
          <cell r="E634">
            <v>15000</v>
          </cell>
          <cell r="F634">
            <v>12300</v>
          </cell>
          <cell r="G634">
            <v>12750</v>
          </cell>
          <cell r="H634">
            <v>13500</v>
          </cell>
          <cell r="I634">
            <v>14250</v>
          </cell>
          <cell r="L634" t="str">
            <v/>
          </cell>
          <cell r="N634" t="str">
            <v/>
          </cell>
        </row>
        <row r="635">
          <cell r="A635" t="str">
            <v>2501</v>
          </cell>
          <cell r="B635" t="str">
            <v>LATA CRUDA</v>
          </cell>
          <cell r="C635" t="str">
            <v>CIABATA    (CRUDO)</v>
          </cell>
          <cell r="D635">
            <v>0</v>
          </cell>
          <cell r="E635">
            <v>5700</v>
          </cell>
          <cell r="F635">
            <v>4670</v>
          </cell>
          <cell r="G635">
            <v>4850</v>
          </cell>
          <cell r="H635">
            <v>5130</v>
          </cell>
          <cell r="I635">
            <v>5420</v>
          </cell>
          <cell r="L635" t="str">
            <v/>
          </cell>
          <cell r="N635" t="str">
            <v/>
          </cell>
        </row>
        <row r="636">
          <cell r="A636" t="str">
            <v>2502</v>
          </cell>
          <cell r="B636" t="str">
            <v>LATA CRUDA</v>
          </cell>
          <cell r="C636" t="str">
            <v>PAN DE CHORI   (3KG O 25 UNI) (CRUDO)</v>
          </cell>
          <cell r="D636">
            <v>0</v>
          </cell>
          <cell r="E636">
            <v>8400</v>
          </cell>
          <cell r="F636">
            <v>6890</v>
          </cell>
          <cell r="G636">
            <v>7140</v>
          </cell>
          <cell r="H636">
            <v>7560</v>
          </cell>
          <cell r="I636">
            <v>7980</v>
          </cell>
          <cell r="L636" t="str">
            <v/>
          </cell>
          <cell r="N636" t="str">
            <v/>
          </cell>
        </row>
        <row r="637">
          <cell r="A637" t="str">
            <v>2503</v>
          </cell>
          <cell r="B637" t="str">
            <v>LATA CRUDA</v>
          </cell>
          <cell r="C637" t="str">
            <v>PAN DE PIZZA (3 KG O 10 UNI) (CRUDO)</v>
          </cell>
          <cell r="D637">
            <v>0</v>
          </cell>
          <cell r="E637">
            <v>13000</v>
          </cell>
          <cell r="F637">
            <v>10660</v>
          </cell>
          <cell r="G637">
            <v>11050</v>
          </cell>
          <cell r="H637">
            <v>11700</v>
          </cell>
          <cell r="I637">
            <v>12350</v>
          </cell>
          <cell r="L637" t="str">
            <v/>
          </cell>
          <cell r="N637" t="str">
            <v/>
          </cell>
        </row>
        <row r="638">
          <cell r="A638" t="str">
            <v>2504</v>
          </cell>
          <cell r="B638" t="str">
            <v>LATA CRUDA</v>
          </cell>
          <cell r="C638" t="str">
            <v>ALEMANCITOS (3,1/3,3 kg) (CRUDO)</v>
          </cell>
          <cell r="D638">
            <v>0</v>
          </cell>
          <cell r="E638">
            <v>12000</v>
          </cell>
          <cell r="F638">
            <v>9840</v>
          </cell>
          <cell r="G638">
            <v>10200</v>
          </cell>
          <cell r="H638">
            <v>10800</v>
          </cell>
          <cell r="I638">
            <v>11400</v>
          </cell>
          <cell r="L638" t="str">
            <v/>
          </cell>
          <cell r="N638" t="str">
            <v/>
          </cell>
        </row>
        <row r="639">
          <cell r="A639" t="str">
            <v>2505</v>
          </cell>
          <cell r="B639" t="str">
            <v>LATA CRUDA</v>
          </cell>
          <cell r="C639" t="str">
            <v>BOLLITOS DE MANTECA (2,5 KG) (CRUDO)</v>
          </cell>
          <cell r="D639">
            <v>0</v>
          </cell>
          <cell r="E639">
            <v>12000</v>
          </cell>
          <cell r="F639">
            <v>9840</v>
          </cell>
          <cell r="G639">
            <v>10200</v>
          </cell>
          <cell r="H639">
            <v>10800</v>
          </cell>
          <cell r="I639">
            <v>11400</v>
          </cell>
          <cell r="L639" t="str">
            <v/>
          </cell>
          <cell r="N639" t="str">
            <v/>
          </cell>
        </row>
        <row r="640">
          <cell r="A640" t="str">
            <v>2506</v>
          </cell>
          <cell r="B640" t="str">
            <v>LATA CRUDA</v>
          </cell>
          <cell r="C640" t="str">
            <v>EMPANADAS DE CARNE X 24 UNIDADES (CRUDO)</v>
          </cell>
          <cell r="D640">
            <v>0</v>
          </cell>
          <cell r="E640">
            <v>36700</v>
          </cell>
          <cell r="F640">
            <v>30090</v>
          </cell>
          <cell r="G640">
            <v>31200</v>
          </cell>
          <cell r="H640">
            <v>33030</v>
          </cell>
          <cell r="I640">
            <v>34870</v>
          </cell>
          <cell r="L640" t="str">
            <v/>
          </cell>
          <cell r="N640" t="str">
            <v/>
          </cell>
        </row>
        <row r="641">
          <cell r="A641" t="str">
            <v>2507</v>
          </cell>
          <cell r="B641" t="str">
            <v>LATA CRUDA</v>
          </cell>
          <cell r="C641" t="str">
            <v>EMPANADAS DE J Y Q X 24 UNIDADES (CRUDO)</v>
          </cell>
          <cell r="D641">
            <v>0</v>
          </cell>
          <cell r="E641">
            <v>36700</v>
          </cell>
          <cell r="F641">
            <v>30090</v>
          </cell>
          <cell r="G641">
            <v>31200</v>
          </cell>
          <cell r="H641">
            <v>33030</v>
          </cell>
          <cell r="I641">
            <v>34870</v>
          </cell>
          <cell r="L641" t="str">
            <v/>
          </cell>
          <cell r="N641" t="str">
            <v/>
          </cell>
        </row>
        <row r="642">
          <cell r="A642" t="str">
            <v>2508</v>
          </cell>
          <cell r="B642" t="str">
            <v>LATA CRUDA</v>
          </cell>
          <cell r="C642" t="str">
            <v>EMPANADAS DE POLLO X 24 UNIDADES (CRUDO)</v>
          </cell>
          <cell r="D642">
            <v>0</v>
          </cell>
          <cell r="E642">
            <v>36700</v>
          </cell>
          <cell r="F642">
            <v>30090</v>
          </cell>
          <cell r="G642">
            <v>31200</v>
          </cell>
          <cell r="H642">
            <v>33030</v>
          </cell>
          <cell r="I642">
            <v>34870</v>
          </cell>
          <cell r="L642" t="str">
            <v/>
          </cell>
          <cell r="N642" t="str">
            <v/>
          </cell>
        </row>
        <row r="643">
          <cell r="A643" t="str">
            <v>2509</v>
          </cell>
          <cell r="B643" t="str">
            <v>LATA CRUDA</v>
          </cell>
          <cell r="C643" t="str">
            <v>LATA TORTA FRITA X 48 UNIDADES (2,9kg crudo) (CRUDO)</v>
          </cell>
          <cell r="D643">
            <v>0</v>
          </cell>
          <cell r="E643">
            <v>23500</v>
          </cell>
          <cell r="F643">
            <v>19270</v>
          </cell>
          <cell r="G643">
            <v>19980</v>
          </cell>
          <cell r="H643">
            <v>21150</v>
          </cell>
          <cell r="I643">
            <v>22330</v>
          </cell>
          <cell r="L643" t="str">
            <v/>
          </cell>
          <cell r="N643" t="str">
            <v/>
          </cell>
        </row>
        <row r="644">
          <cell r="A644" t="str">
            <v>2510</v>
          </cell>
          <cell r="B644" t="str">
            <v>LATA CRUDA</v>
          </cell>
          <cell r="C644" t="str">
            <v>SLIDER 70 UNIDADES (CRUDO)</v>
          </cell>
          <cell r="D644">
            <v>0</v>
          </cell>
          <cell r="E644">
            <v>18000</v>
          </cell>
          <cell r="F644">
            <v>14760</v>
          </cell>
          <cell r="G644">
            <v>15300</v>
          </cell>
          <cell r="H644">
            <v>16200</v>
          </cell>
          <cell r="I644">
            <v>17100</v>
          </cell>
          <cell r="L644" t="str">
            <v/>
          </cell>
          <cell r="N644" t="str">
            <v/>
          </cell>
        </row>
        <row r="645">
          <cell r="A645" t="str">
            <v>2511</v>
          </cell>
          <cell r="B645" t="str">
            <v>LATA CRUDA</v>
          </cell>
          <cell r="C645" t="str">
            <v>BOLLITOS VV (CRUDO)</v>
          </cell>
          <cell r="D645">
            <v>0</v>
          </cell>
          <cell r="E645">
            <v>6200</v>
          </cell>
          <cell r="F645">
            <v>5080</v>
          </cell>
          <cell r="G645">
            <v>5270</v>
          </cell>
          <cell r="H645">
            <v>5580</v>
          </cell>
          <cell r="I645">
            <v>5890</v>
          </cell>
          <cell r="L645" t="str">
            <v/>
          </cell>
          <cell r="N645" t="str">
            <v/>
          </cell>
        </row>
        <row r="646">
          <cell r="A646" t="str">
            <v>2512</v>
          </cell>
          <cell r="B646" t="str">
            <v>LATA CRUDA</v>
          </cell>
          <cell r="C646" t="str">
            <v>BOLLITOS C/ SESAMO (CRUDO)</v>
          </cell>
          <cell r="D646">
            <v>0</v>
          </cell>
          <cell r="E646">
            <v>12400</v>
          </cell>
          <cell r="F646">
            <v>10170</v>
          </cell>
          <cell r="G646">
            <v>10540</v>
          </cell>
          <cell r="H646">
            <v>11160</v>
          </cell>
          <cell r="I646">
            <v>11780</v>
          </cell>
          <cell r="L646" t="str">
            <v/>
          </cell>
          <cell r="N646" t="str">
            <v/>
          </cell>
        </row>
        <row r="647">
          <cell r="A647" t="str">
            <v>2513</v>
          </cell>
          <cell r="B647" t="str">
            <v>LATA CRUDA</v>
          </cell>
          <cell r="C647" t="str">
            <v>MEDIALUNAS DE MANTECA PREMIUM</v>
          </cell>
          <cell r="D647">
            <v>0</v>
          </cell>
          <cell r="E647">
            <v>35000</v>
          </cell>
          <cell r="F647">
            <v>28700</v>
          </cell>
          <cell r="G647">
            <v>29750</v>
          </cell>
          <cell r="H647">
            <v>31500</v>
          </cell>
          <cell r="I647">
            <v>33250</v>
          </cell>
          <cell r="L647" t="str">
            <v/>
          </cell>
          <cell r="N647" t="str">
            <v/>
          </cell>
        </row>
        <row r="648">
          <cell r="A648" t="str">
            <v>2514</v>
          </cell>
          <cell r="B648" t="str">
            <v>LATA CRUDA</v>
          </cell>
          <cell r="C648" t="str">
            <v>PAN DE CAMPO MEDIANO  X4 UNIDADES  (CRUDO)</v>
          </cell>
          <cell r="D648">
            <v>0</v>
          </cell>
          <cell r="E648">
            <v>15000</v>
          </cell>
          <cell r="F648">
            <v>12300</v>
          </cell>
          <cell r="G648">
            <v>12750</v>
          </cell>
          <cell r="H648">
            <v>13500</v>
          </cell>
          <cell r="I648">
            <v>14250</v>
          </cell>
          <cell r="L648" t="str">
            <v/>
          </cell>
          <cell r="N648" t="str">
            <v/>
          </cell>
        </row>
        <row r="649">
          <cell r="A649" t="str">
            <v>2515</v>
          </cell>
          <cell r="B649" t="str">
            <v>LATA CRUDA</v>
          </cell>
          <cell r="C649" t="str">
            <v>CAÑONCITOS DE MANTECA (CRUDO)</v>
          </cell>
          <cell r="D649">
            <v>0</v>
          </cell>
          <cell r="E649">
            <v>20000</v>
          </cell>
          <cell r="F649">
            <v>16400</v>
          </cell>
          <cell r="G649">
            <v>17000</v>
          </cell>
          <cell r="H649">
            <v>18000</v>
          </cell>
          <cell r="I649">
            <v>19000</v>
          </cell>
          <cell r="L649" t="str">
            <v/>
          </cell>
          <cell r="N649" t="str">
            <v/>
          </cell>
        </row>
        <row r="650">
          <cell r="A650" t="str">
            <v>2516</v>
          </cell>
          <cell r="B650" t="str">
            <v>LATA CRUDA</v>
          </cell>
          <cell r="C650" t="str">
            <v>CROISSANT MANTECA X 12 UNI</v>
          </cell>
          <cell r="E650">
            <v>19020</v>
          </cell>
          <cell r="F650">
            <v>15600</v>
          </cell>
          <cell r="G650">
            <v>16170</v>
          </cell>
          <cell r="H650">
            <v>17120</v>
          </cell>
          <cell r="I650">
            <v>18070</v>
          </cell>
        </row>
        <row r="651">
          <cell r="A651" t="str">
            <v>2517</v>
          </cell>
          <cell r="B651" t="str">
            <v>LATA CRUDA</v>
          </cell>
          <cell r="C651" t="str">
            <v>ROLLS JAMON Y QUESO X 20 UNIDADES</v>
          </cell>
          <cell r="E651">
            <v>42680</v>
          </cell>
          <cell r="F651">
            <v>35000</v>
          </cell>
          <cell r="G651">
            <v>36280</v>
          </cell>
          <cell r="H651">
            <v>38410</v>
          </cell>
          <cell r="I651">
            <v>40550</v>
          </cell>
        </row>
        <row r="652">
          <cell r="A652" t="str">
            <v>2518</v>
          </cell>
          <cell r="B652" t="str">
            <v>LATA CRUDA</v>
          </cell>
          <cell r="C652" t="str">
            <v>PAIN CHOCOLATE (CRUDO)</v>
          </cell>
          <cell r="E652">
            <v>36590</v>
          </cell>
          <cell r="F652">
            <v>30000</v>
          </cell>
          <cell r="G652">
            <v>31100</v>
          </cell>
          <cell r="H652">
            <v>32930</v>
          </cell>
          <cell r="I652">
            <v>34760</v>
          </cell>
        </row>
        <row r="653">
          <cell r="A653" t="str">
            <v>2519</v>
          </cell>
          <cell r="B653" t="str">
            <v>LATA CRUDA</v>
          </cell>
          <cell r="C653" t="str">
            <v>ROLLS (CRUDO)</v>
          </cell>
          <cell r="E653">
            <v>48780</v>
          </cell>
          <cell r="F653">
            <v>40000</v>
          </cell>
          <cell r="G653">
            <v>41460</v>
          </cell>
          <cell r="H653">
            <v>43900</v>
          </cell>
          <cell r="I653">
            <v>46340</v>
          </cell>
        </row>
        <row r="654">
          <cell r="D654">
            <v>4762170</v>
          </cell>
          <cell r="E654">
            <v>4852142</v>
          </cell>
          <cell r="F654">
            <v>3910990</v>
          </cell>
          <cell r="G654">
            <v>4054860</v>
          </cell>
          <cell r="H654">
            <v>4290110</v>
          </cell>
          <cell r="I654">
            <v>4529460</v>
          </cell>
        </row>
        <row r="657">
          <cell r="C657" t="str">
            <v>INSUMOS PARA COMERCIALIZAR -FACTURAR</v>
          </cell>
        </row>
        <row r="658">
          <cell r="A658" t="str">
            <v>10001</v>
          </cell>
          <cell r="B658" t="str">
            <v>COMERCIALIZACION</v>
          </cell>
          <cell r="C658" t="str">
            <v>Azucar</v>
          </cell>
        </row>
        <row r="659">
          <cell r="A659" t="str">
            <v>10002</v>
          </cell>
          <cell r="B659" t="str">
            <v>COMERCIALIZACION</v>
          </cell>
          <cell r="C659" t="str">
            <v>Azucar "Ingenio Marapa "</v>
          </cell>
        </row>
        <row r="660">
          <cell r="A660" t="str">
            <v>10003</v>
          </cell>
          <cell r="B660" t="str">
            <v>COMERCIALIZACION</v>
          </cell>
          <cell r="C660" t="str">
            <v>Huevos</v>
          </cell>
        </row>
        <row r="661">
          <cell r="A661" t="str">
            <v>10004</v>
          </cell>
          <cell r="B661" t="str">
            <v>COMERCIALIZACION</v>
          </cell>
          <cell r="C661" t="str">
            <v>Polvo de hornear "Flor"</v>
          </cell>
        </row>
        <row r="662">
          <cell r="A662" t="str">
            <v>10005</v>
          </cell>
          <cell r="B662" t="str">
            <v>COMERCIALIZACION</v>
          </cell>
          <cell r="C662" t="str">
            <v xml:space="preserve">Queso en barra "margarita" </v>
          </cell>
        </row>
        <row r="663">
          <cell r="A663" t="str">
            <v>10006</v>
          </cell>
          <cell r="B663" t="str">
            <v>COMERCIALIZACION</v>
          </cell>
          <cell r="C663" t="str">
            <v>Jamon Cocido Cuadrado</v>
          </cell>
        </row>
        <row r="664">
          <cell r="A664" t="str">
            <v>10007</v>
          </cell>
          <cell r="B664" t="str">
            <v>COMERCIALIZACION</v>
          </cell>
          <cell r="C664" t="str">
            <v>Barra de Salame "Sello de Plata"</v>
          </cell>
        </row>
        <row r="665">
          <cell r="A665" t="str">
            <v>10008</v>
          </cell>
          <cell r="B665" t="str">
            <v>COMERCIALIZACION</v>
          </cell>
          <cell r="C665" t="str">
            <v>Ddl "Don Uribe"</v>
          </cell>
        </row>
        <row r="666">
          <cell r="A666" t="str">
            <v>10009</v>
          </cell>
          <cell r="B666" t="str">
            <v>COMERCIALIZACION</v>
          </cell>
          <cell r="C666" t="str">
            <v>DDL JOSEFINA</v>
          </cell>
        </row>
        <row r="667">
          <cell r="A667" t="str">
            <v>10010</v>
          </cell>
          <cell r="B667" t="str">
            <v>COMERCIALIZACION</v>
          </cell>
        </row>
        <row r="668">
          <cell r="A668" t="str">
            <v>10011</v>
          </cell>
          <cell r="B668" t="str">
            <v>COMERCIALIZACION</v>
          </cell>
          <cell r="C668" t="str">
            <v>Mermelada Membrillo Taxonera</v>
          </cell>
        </row>
        <row r="669">
          <cell r="A669" t="str">
            <v>10012</v>
          </cell>
          <cell r="B669" t="str">
            <v>COMERCIALIZACION</v>
          </cell>
          <cell r="C669" t="str">
            <v xml:space="preserve">Mayonesa natura sache </v>
          </cell>
        </row>
        <row r="670">
          <cell r="A670" t="str">
            <v>10013</v>
          </cell>
          <cell r="B670" t="str">
            <v>COMERCIALIZACION</v>
          </cell>
          <cell r="C670" t="str">
            <v>Mayonesa natura Individual</v>
          </cell>
        </row>
        <row r="671">
          <cell r="A671" t="str">
            <v>10014</v>
          </cell>
          <cell r="B671" t="str">
            <v>COMERCIALIZACION</v>
          </cell>
          <cell r="C671" t="str">
            <v>Miel "Don Carlos"</v>
          </cell>
        </row>
        <row r="672">
          <cell r="A672" t="str">
            <v>10015</v>
          </cell>
          <cell r="B672" t="str">
            <v>COMERCIALIZACION</v>
          </cell>
          <cell r="C672" t="str">
            <v xml:space="preserve">Leche yatasto </v>
          </cell>
        </row>
        <row r="673">
          <cell r="A673" t="str">
            <v>10016</v>
          </cell>
          <cell r="B673" t="str">
            <v>COMERCIALIZACION</v>
          </cell>
          <cell r="C673" t="str">
            <v>Leche la serenísima SACHET</v>
          </cell>
        </row>
        <row r="674">
          <cell r="A674" t="str">
            <v>10017</v>
          </cell>
          <cell r="B674" t="str">
            <v>COMERCIALIZACION</v>
          </cell>
          <cell r="C674" t="str">
            <v>Pulpa para brillo "pulpalist"</v>
          </cell>
        </row>
        <row r="675">
          <cell r="A675" t="str">
            <v>10018</v>
          </cell>
          <cell r="B675" t="str">
            <v>COMERCIALIZACION</v>
          </cell>
          <cell r="C675" t="str">
            <v>Miga</v>
          </cell>
        </row>
        <row r="676">
          <cell r="A676" t="str">
            <v>10019</v>
          </cell>
          <cell r="B676" t="str">
            <v>COMERCIALIZACION</v>
          </cell>
          <cell r="C676" t="str">
            <v xml:space="preserve">Crema Pastelera  </v>
          </cell>
        </row>
        <row r="677">
          <cell r="A677" t="str">
            <v>10020</v>
          </cell>
          <cell r="B677" t="str">
            <v>COMERCIALIZACION</v>
          </cell>
          <cell r="C677" t="str">
            <v>Salsa de Soja vanoli</v>
          </cell>
        </row>
        <row r="678">
          <cell r="A678" t="str">
            <v>10021</v>
          </cell>
          <cell r="B678" t="str">
            <v>COMERCIALIZACION</v>
          </cell>
          <cell r="C678" t="str">
            <v>Tapa para empanadas</v>
          </cell>
        </row>
        <row r="679">
          <cell r="A679" t="str">
            <v>10022</v>
          </cell>
          <cell r="B679" t="str">
            <v>COMERCIALIZACION</v>
          </cell>
          <cell r="C679" t="str">
            <v>Queso Cremato Milkaut</v>
          </cell>
        </row>
        <row r="680">
          <cell r="A680" t="str">
            <v>10051</v>
          </cell>
          <cell r="B680" t="str">
            <v>COMERCIALIZACION</v>
          </cell>
          <cell r="C680" t="str">
            <v>Miga Bragado</v>
          </cell>
        </row>
        <row r="681">
          <cell r="A681" t="str">
            <v>10052</v>
          </cell>
          <cell r="B681" t="str">
            <v>COMERCIALIZACION</v>
          </cell>
          <cell r="C681" t="str">
            <v>Aceite</v>
          </cell>
        </row>
        <row r="682">
          <cell r="A682" t="str">
            <v>10053</v>
          </cell>
          <cell r="B682" t="str">
            <v>COMERCIALIZACION</v>
          </cell>
          <cell r="C682" t="str">
            <v>Ricota</v>
          </cell>
        </row>
        <row r="683">
          <cell r="A683" t="str">
            <v>10054</v>
          </cell>
          <cell r="B683" t="str">
            <v>COMERCIALIZACION</v>
          </cell>
          <cell r="C683" t="str">
            <v>Leche Larga Vida</v>
          </cell>
        </row>
        <row r="684">
          <cell r="A684" t="str">
            <v>10055</v>
          </cell>
          <cell r="B684" t="str">
            <v>COMERCIALIZACION</v>
          </cell>
          <cell r="C684" t="str">
            <v>Aderezo Ceaser</v>
          </cell>
        </row>
        <row r="685">
          <cell r="A685" t="str">
            <v>10056</v>
          </cell>
          <cell r="B685" t="str">
            <v>COMERCIALIZACION</v>
          </cell>
          <cell r="C685" t="str">
            <v>Pollo</v>
          </cell>
        </row>
        <row r="686">
          <cell r="A686" t="str">
            <v>10057</v>
          </cell>
          <cell r="B686" t="str">
            <v>COMERCIALIZACION</v>
          </cell>
          <cell r="C686" t="str">
            <v>Queso Brie</v>
          </cell>
        </row>
        <row r="687">
          <cell r="A687" t="str">
            <v>10058</v>
          </cell>
          <cell r="B687" t="str">
            <v>COMERCIALIZACION</v>
          </cell>
          <cell r="C687" t="str">
            <v>Panceta</v>
          </cell>
        </row>
        <row r="688">
          <cell r="A688" t="str">
            <v>10059</v>
          </cell>
          <cell r="B688" t="str">
            <v>COMERCIALIZACION</v>
          </cell>
          <cell r="C688" t="str">
            <v>Crema Pastelera Vacalin</v>
          </cell>
        </row>
        <row r="689">
          <cell r="A689" t="str">
            <v>10060</v>
          </cell>
          <cell r="B689" t="str">
            <v>COMERCIALIZACION</v>
          </cell>
          <cell r="C689" t="str">
            <v>Leche Condensanda Nestle</v>
          </cell>
        </row>
        <row r="690">
          <cell r="A690" t="str">
            <v>10061</v>
          </cell>
          <cell r="B690" t="str">
            <v>COMERCIALIZACION</v>
          </cell>
          <cell r="C690" t="str">
            <v>Jamon Crudo</v>
          </cell>
        </row>
        <row r="691">
          <cell r="A691" t="str">
            <v>10062</v>
          </cell>
          <cell r="B691" t="str">
            <v>COMERCIALIZACION</v>
          </cell>
          <cell r="C691" t="str">
            <v>Coco Rallado Indonesia</v>
          </cell>
        </row>
        <row r="692">
          <cell r="A692" t="str">
            <v>10063</v>
          </cell>
          <cell r="B692" t="str">
            <v>COMERCIALIZACION</v>
          </cell>
          <cell r="C692" t="str">
            <v>Mapsacuber Marron Boton</v>
          </cell>
        </row>
        <row r="693">
          <cell r="A693" t="str">
            <v>10064</v>
          </cell>
          <cell r="B693" t="str">
            <v>COMERCIALIZACION</v>
          </cell>
          <cell r="C693" t="str">
            <v>AZUCAR NEGRA CIRCE X 1 KG</v>
          </cell>
        </row>
        <row r="694">
          <cell r="A694" t="str">
            <v>10065</v>
          </cell>
          <cell r="B694" t="str">
            <v>COMERCIALIZACION</v>
          </cell>
          <cell r="C694" t="str">
            <v>AZUCAR IMPALPABLE CIRCE X 1 KG</v>
          </cell>
        </row>
        <row r="695">
          <cell r="C695" t="str">
            <v>LA CREMONA</v>
          </cell>
        </row>
        <row r="696">
          <cell r="A696" t="str">
            <v>20001</v>
          </cell>
          <cell r="B696" t="str">
            <v>La Cremona</v>
          </cell>
          <cell r="C696" t="str">
            <v>Factura Locatelli</v>
          </cell>
        </row>
        <row r="697">
          <cell r="A697" t="str">
            <v>20002</v>
          </cell>
          <cell r="B697" t="str">
            <v>La Cremona</v>
          </cell>
          <cell r="C697" t="str">
            <v>Factura Alemana</v>
          </cell>
        </row>
        <row r="698">
          <cell r="A698" t="str">
            <v>20003</v>
          </cell>
          <cell r="B698" t="str">
            <v>La Cremona</v>
          </cell>
          <cell r="C698" t="str">
            <v>Factura Mix</v>
          </cell>
        </row>
        <row r="699">
          <cell r="A699" t="str">
            <v>20004</v>
          </cell>
          <cell r="B699" t="str">
            <v>La Cremona</v>
          </cell>
          <cell r="C699" t="str">
            <v>Factura Med Multigranos</v>
          </cell>
        </row>
        <row r="700">
          <cell r="A700" t="str">
            <v>20005</v>
          </cell>
          <cell r="B700" t="str">
            <v>La Cremona</v>
          </cell>
          <cell r="C700" t="str">
            <v>Coquitos</v>
          </cell>
        </row>
        <row r="701">
          <cell r="A701" t="str">
            <v>20006</v>
          </cell>
          <cell r="B701" t="str">
            <v>La Cremona</v>
          </cell>
          <cell r="C701" t="str">
            <v>Cookies</v>
          </cell>
        </row>
        <row r="702">
          <cell r="A702" t="str">
            <v>20007</v>
          </cell>
          <cell r="B702" t="str">
            <v>La Cremona</v>
          </cell>
          <cell r="C702" t="str">
            <v>Palmeras</v>
          </cell>
        </row>
        <row r="703">
          <cell r="A703" t="str">
            <v>20008</v>
          </cell>
          <cell r="B703" t="str">
            <v>La Cremona</v>
          </cell>
          <cell r="C703" t="str">
            <v>Pata de Oso</v>
          </cell>
        </row>
        <row r="704">
          <cell r="A704" t="str">
            <v>20009</v>
          </cell>
          <cell r="B704" t="str">
            <v>La Cremona</v>
          </cell>
          <cell r="C704" t="str">
            <v>Alfajor Maicena</v>
          </cell>
        </row>
        <row r="705">
          <cell r="C705" t="str">
            <v>PAPELERA</v>
          </cell>
        </row>
        <row r="706">
          <cell r="A706" t="str">
            <v>10123</v>
          </cell>
          <cell r="B706" t="str">
            <v>COMERCIALIZACION</v>
          </cell>
          <cell r="C706" t="str">
            <v>Bolsa Kraft N5</v>
          </cell>
        </row>
        <row r="707">
          <cell r="A707" t="str">
            <v>10124</v>
          </cell>
          <cell r="B707" t="str">
            <v>COMERCIALIZACION</v>
          </cell>
          <cell r="C707" t="str">
            <v>Bolsa Kraft N6</v>
          </cell>
        </row>
        <row r="708">
          <cell r="A708" t="str">
            <v>10125</v>
          </cell>
          <cell r="B708" t="str">
            <v>COMERCIALIZACION</v>
          </cell>
          <cell r="C708" t="str">
            <v>Bandeja Carton N5</v>
          </cell>
        </row>
        <row r="709">
          <cell r="A709" t="str">
            <v>10126</v>
          </cell>
          <cell r="B709" t="str">
            <v>COMERCIALIZACION</v>
          </cell>
          <cell r="C709" t="str">
            <v>Tira Cartulina 60 cm</v>
          </cell>
        </row>
        <row r="710">
          <cell r="A710" t="str">
            <v>10127</v>
          </cell>
          <cell r="B710" t="str">
            <v>COMERCIALIZACION</v>
          </cell>
          <cell r="C710" t="str">
            <v>Bandeja Exp 618 20x15</v>
          </cell>
        </row>
        <row r="711">
          <cell r="A711" t="str">
            <v>10128</v>
          </cell>
          <cell r="B711" t="str">
            <v>COMERCIALIZACION</v>
          </cell>
          <cell r="C711" t="str">
            <v>Bolsas PP 20X30 X 100</v>
          </cell>
        </row>
        <row r="712">
          <cell r="A712" t="str">
            <v>10129</v>
          </cell>
          <cell r="B712" t="str">
            <v>COMERCIALIZACION</v>
          </cell>
          <cell r="C712" t="str">
            <v>Ensaladera Cristal 900 cc</v>
          </cell>
        </row>
        <row r="713">
          <cell r="A713" t="str">
            <v>10130</v>
          </cell>
          <cell r="B713" t="str">
            <v>COMERCIALIZACION</v>
          </cell>
          <cell r="C713" t="str">
            <v xml:space="preserve">Tapa Ensaladera </v>
          </cell>
        </row>
        <row r="714">
          <cell r="A714" t="str">
            <v>10131</v>
          </cell>
          <cell r="B714" t="str">
            <v>COMERCIALIZACION</v>
          </cell>
          <cell r="C714" t="str">
            <v>Vaso Termico 240 CC</v>
          </cell>
        </row>
        <row r="715">
          <cell r="A715" t="str">
            <v>10132</v>
          </cell>
          <cell r="B715" t="str">
            <v>COMERCIALIZACION</v>
          </cell>
          <cell r="C715" t="str">
            <v>Servilleta 18 x 18 cm</v>
          </cell>
        </row>
        <row r="716">
          <cell r="A716" t="str">
            <v>10133</v>
          </cell>
          <cell r="B716" t="str">
            <v>COMERCIALIZACION</v>
          </cell>
          <cell r="C716" t="str">
            <v>Vaso Polip 12 OZ 30 uni tubo</v>
          </cell>
        </row>
        <row r="717">
          <cell r="A717" t="str">
            <v>10134</v>
          </cell>
          <cell r="B717" t="str">
            <v>COMERCIALIZACION</v>
          </cell>
          <cell r="C717" t="str">
            <v>Tapa Vaso Poli 12 OZ</v>
          </cell>
        </row>
        <row r="718">
          <cell r="A718" t="str">
            <v>10135</v>
          </cell>
          <cell r="B718" t="str">
            <v>COMERCIALIZACION</v>
          </cell>
          <cell r="C718" t="str">
            <v>Repuesto Film 300 Mts Eco 9</v>
          </cell>
        </row>
        <row r="719">
          <cell r="A719" t="str">
            <v>10136</v>
          </cell>
          <cell r="B719" t="str">
            <v>COMERCIALIZACION</v>
          </cell>
          <cell r="C719" t="str">
            <v>Rollo Maquina Termica 57x 20</v>
          </cell>
        </row>
        <row r="720">
          <cell r="A720" t="str">
            <v>10137</v>
          </cell>
          <cell r="B720" t="str">
            <v>COMERCIALIZACION</v>
          </cell>
          <cell r="C720" t="str">
            <v>Vaso 500 cc Nat x 1440 Bella Cup</v>
          </cell>
        </row>
        <row r="721">
          <cell r="A721" t="str">
            <v>10138</v>
          </cell>
          <cell r="B721" t="str">
            <v>COMERCIALIZACION</v>
          </cell>
          <cell r="C721" t="str">
            <v>Vaso 180 cc Blanco Bella Cup</v>
          </cell>
        </row>
        <row r="722">
          <cell r="A722" t="str">
            <v>10139</v>
          </cell>
          <cell r="B722" t="str">
            <v>COMERCIALIZACION</v>
          </cell>
          <cell r="C722" t="str">
            <v>Rollo Papel Facturas "Rocha Almacen"</v>
          </cell>
        </row>
        <row r="723">
          <cell r="A723" t="str">
            <v>10140</v>
          </cell>
          <cell r="B723" t="str">
            <v>COMERCIALIZACION</v>
          </cell>
          <cell r="C723" t="str">
            <v>Camiseta 40 x 50 Nar</v>
          </cell>
        </row>
        <row r="724">
          <cell r="A724" t="str">
            <v>10141</v>
          </cell>
          <cell r="B724" t="str">
            <v>COMERCIALIZACION</v>
          </cell>
          <cell r="C724" t="str">
            <v>Camiseta 45 x 60 Nar</v>
          </cell>
        </row>
        <row r="725">
          <cell r="A725" t="str">
            <v>10142</v>
          </cell>
          <cell r="B725" t="str">
            <v>COMERCIALIZACION</v>
          </cell>
          <cell r="C725" t="str">
            <v>Rollo 60x90 x 6 Rolan</v>
          </cell>
        </row>
        <row r="726">
          <cell r="A726" t="str">
            <v>10143</v>
          </cell>
          <cell r="B726" t="str">
            <v>COMERCIALIZACION</v>
          </cell>
          <cell r="C726" t="str">
            <v>Band Exp 618 20x15 cm x 400 uni</v>
          </cell>
        </row>
        <row r="727">
          <cell r="A727" t="str">
            <v>10144</v>
          </cell>
          <cell r="B727" t="str">
            <v>COMERCIALIZACION</v>
          </cell>
          <cell r="C727" t="str">
            <v>Plato Dipo 24x50</v>
          </cell>
        </row>
        <row r="728">
          <cell r="A728" t="str">
            <v>10145</v>
          </cell>
          <cell r="B728" t="str">
            <v>COMERCIALIZACION</v>
          </cell>
          <cell r="C728" t="str">
            <v>Tapa 88 p/potes work x 50 x 1000</v>
          </cell>
        </row>
        <row r="729">
          <cell r="A729" t="str">
            <v>10146</v>
          </cell>
          <cell r="B729" t="str">
            <v>COMERCIALIZACION</v>
          </cell>
          <cell r="C729" t="str">
            <v>Blonda Calada 25/26 cm x 100</v>
          </cell>
        </row>
        <row r="730">
          <cell r="A730" t="str">
            <v>10147</v>
          </cell>
          <cell r="B730" t="str">
            <v>COMERCIALIZACION</v>
          </cell>
          <cell r="C730" t="str">
            <v>Blonda Calada 28 cm x 100</v>
          </cell>
        </row>
        <row r="731">
          <cell r="A731" t="str">
            <v>10148</v>
          </cell>
          <cell r="B731" t="str">
            <v>COMERCIALIZACION</v>
          </cell>
          <cell r="C731" t="str">
            <v>Pap Hig s/h aloe x 30 mts x 24</v>
          </cell>
        </row>
        <row r="732">
          <cell r="A732" t="str">
            <v>10149</v>
          </cell>
          <cell r="B732" t="str">
            <v>COMERCIALIZACION</v>
          </cell>
          <cell r="C732" t="str">
            <v>Plato Alum ( provo ) x 1000</v>
          </cell>
        </row>
        <row r="733">
          <cell r="A733" t="str">
            <v>10150</v>
          </cell>
          <cell r="B733" t="str">
            <v>COMERCIALIZACION</v>
          </cell>
          <cell r="C733" t="str">
            <v>Bud Papel 185x50x50x100</v>
          </cell>
        </row>
        <row r="734">
          <cell r="A734" t="str">
            <v>10151</v>
          </cell>
          <cell r="B734" t="str">
            <v>COMERCIALIZACION</v>
          </cell>
          <cell r="C734" t="str">
            <v>Lamina 20x25x10 Rolan</v>
          </cell>
        </row>
        <row r="735">
          <cell r="A735" t="str">
            <v>10152</v>
          </cell>
          <cell r="B735" t="str">
            <v>COMERCIALIZACION</v>
          </cell>
          <cell r="C735" t="str">
            <v>Bandeja Exp 621 19 x 14 x 600 uni</v>
          </cell>
        </row>
        <row r="736">
          <cell r="A736" t="str">
            <v>10153</v>
          </cell>
          <cell r="B736" t="str">
            <v>COMERCIALIZACION</v>
          </cell>
          <cell r="C736" t="str">
            <v>Camiseta 30x40 azul</v>
          </cell>
        </row>
        <row r="737">
          <cell r="A737" t="str">
            <v>10154</v>
          </cell>
          <cell r="B737" t="str">
            <v>COMERCIALIZACION</v>
          </cell>
          <cell r="C737" t="str">
            <v>ROLLO PAP MANTECA X50</v>
          </cell>
        </row>
        <row r="738">
          <cell r="A738" t="str">
            <v>10155</v>
          </cell>
          <cell r="B738" t="str">
            <v>COMERCIALIZACION</v>
          </cell>
          <cell r="C738" t="str">
            <v>FILM 38CM X9</v>
          </cell>
        </row>
        <row r="739">
          <cell r="A739" t="str">
            <v>10156</v>
          </cell>
          <cell r="B739" t="str">
            <v>COMERCIALIZACION</v>
          </cell>
          <cell r="C739" t="str">
            <v>CINTA EMBALAR 48MM</v>
          </cell>
        </row>
        <row r="740">
          <cell r="A740" t="str">
            <v>10157</v>
          </cell>
          <cell r="B740" t="str">
            <v>COMERCIALIZACION</v>
          </cell>
          <cell r="C740" t="str">
            <v>CONSORCIO 80X100  X50</v>
          </cell>
        </row>
        <row r="741">
          <cell r="A741" t="str">
            <v>10158</v>
          </cell>
          <cell r="B741" t="str">
            <v>COMERCIALIZACION</v>
          </cell>
          <cell r="C741" t="str">
            <v>CAJA CARTON 30X20X20</v>
          </cell>
        </row>
        <row r="742">
          <cell r="A742" t="str">
            <v>10159</v>
          </cell>
          <cell r="B742" t="str">
            <v>COMERCIALIZACION</v>
          </cell>
          <cell r="C742" t="str">
            <v>CUCHARA SUNDAE X1000</v>
          </cell>
        </row>
        <row r="743">
          <cell r="A743" t="str">
            <v>10160</v>
          </cell>
          <cell r="B743" t="str">
            <v>COMERCIALIZACION</v>
          </cell>
          <cell r="C743" t="str">
            <v>Collarin 12oz x25 u x40</v>
          </cell>
        </row>
        <row r="744">
          <cell r="A744" t="str">
            <v>10161</v>
          </cell>
          <cell r="B744" t="str">
            <v>COMERCIALIZACION</v>
          </cell>
          <cell r="C744" t="str">
            <v>Cinta transparente 24mmx40mts  x72</v>
          </cell>
        </row>
        <row r="745">
          <cell r="A745" t="str">
            <v>10162</v>
          </cell>
          <cell r="B745" t="str">
            <v>COMERCIALIZACION</v>
          </cell>
          <cell r="C745" t="str">
            <v>Bobina doble hoja</v>
          </cell>
        </row>
        <row r="746">
          <cell r="A746" t="str">
            <v>10163</v>
          </cell>
          <cell r="B746" t="str">
            <v>COMERCIALIZACION</v>
          </cell>
          <cell r="C746" t="str">
            <v>res.alambre corte 40x3</v>
          </cell>
        </row>
        <row r="747">
          <cell r="A747" t="str">
            <v>10164</v>
          </cell>
          <cell r="B747" t="str">
            <v>COMERCIALIZACION</v>
          </cell>
          <cell r="C747" t="str">
            <v>Tela Teflon sell</v>
          </cell>
        </row>
        <row r="748">
          <cell r="A748" t="str">
            <v>10165</v>
          </cell>
          <cell r="B748" t="str">
            <v>COMERCIALIZACION</v>
          </cell>
          <cell r="C748" t="str">
            <v>Disco de Carton 18cm</v>
          </cell>
        </row>
        <row r="749">
          <cell r="A749" t="str">
            <v>10166</v>
          </cell>
          <cell r="B749" t="str">
            <v>COMERCIALIZACION</v>
          </cell>
          <cell r="C749" t="str">
            <v>Bolsas PP 35x45cm</v>
          </cell>
        </row>
        <row r="750">
          <cell r="A750" t="str">
            <v>10167</v>
          </cell>
          <cell r="B750" t="str">
            <v>COMERCIALIZACION</v>
          </cell>
          <cell r="C750" t="str">
            <v>Plato Dor x50</v>
          </cell>
        </row>
        <row r="751">
          <cell r="A751" t="str">
            <v>10168</v>
          </cell>
          <cell r="B751" t="str">
            <v>COMERCIALIZACION</v>
          </cell>
          <cell r="C751" t="str">
            <v>PVC Resifilm 18 x 1000mts</v>
          </cell>
        </row>
        <row r="752">
          <cell r="A752" t="str">
            <v>10169</v>
          </cell>
          <cell r="B752" t="str">
            <v>COMERCIALIZACION</v>
          </cell>
          <cell r="C752" t="str">
            <v>Pore 380CC PP Work</v>
          </cell>
        </row>
        <row r="753">
          <cell r="A753" t="str">
            <v>10170</v>
          </cell>
          <cell r="B753" t="str">
            <v>COMERCIALIZACION</v>
          </cell>
          <cell r="C753" t="str">
            <v>Tenedor Blanco x 1000</v>
          </cell>
        </row>
        <row r="754">
          <cell r="A754" t="str">
            <v>10171</v>
          </cell>
          <cell r="B754" t="str">
            <v>COMERCIALIZACION</v>
          </cell>
          <cell r="C754" t="str">
            <v>Tira Cartulina 50 cm</v>
          </cell>
        </row>
        <row r="755">
          <cell r="A755" t="str">
            <v>10172</v>
          </cell>
          <cell r="B755" t="str">
            <v>COMERCIALIZACION</v>
          </cell>
          <cell r="C755" t="str">
            <v>Bolsas pp 50 x 60</v>
          </cell>
        </row>
        <row r="756">
          <cell r="A756" t="str">
            <v>10173</v>
          </cell>
          <cell r="B756" t="str">
            <v>COMERCIALIZACION</v>
          </cell>
          <cell r="C756" t="str">
            <v>Blonda Calada 20 cm</v>
          </cell>
        </row>
        <row r="757">
          <cell r="A757" t="str">
            <v>10174</v>
          </cell>
          <cell r="B757" t="str">
            <v>COMERCIALIZACION</v>
          </cell>
          <cell r="C757" t="str">
            <v>Rendidor</v>
          </cell>
        </row>
        <row r="758">
          <cell r="A758" t="str">
            <v>10096</v>
          </cell>
          <cell r="B758" t="str">
            <v>COMERCIALIZACION</v>
          </cell>
          <cell r="C758" t="str">
            <v>Bobina Impresa papel Rocha Pan</v>
          </cell>
        </row>
        <row r="759">
          <cell r="A759" t="str">
            <v>10197</v>
          </cell>
          <cell r="B759" t="str">
            <v>COMERCIALIZACION</v>
          </cell>
          <cell r="C759" t="str">
            <v>Bolsas de papel impresa Rocha pan</v>
          </cell>
        </row>
        <row r="760">
          <cell r="A760" t="str">
            <v>10100</v>
          </cell>
          <cell r="C760" t="str">
            <v>COOKIES</v>
          </cell>
        </row>
        <row r="761">
          <cell r="A761" t="str">
            <v>10101</v>
          </cell>
          <cell r="C761" t="str">
            <v>Blisters Cookies</v>
          </cell>
        </row>
        <row r="762">
          <cell r="A762" t="str">
            <v>10102</v>
          </cell>
          <cell r="C762" t="str">
            <v>Bandejas Cookies</v>
          </cell>
        </row>
        <row r="763">
          <cell r="A763" t="str">
            <v>10103</v>
          </cell>
          <cell r="C763" t="str">
            <v>Tubitos Cookies</v>
          </cell>
        </row>
        <row r="764">
          <cell r="A764" t="str">
            <v>10104</v>
          </cell>
          <cell r="C764" t="str">
            <v>Frolas Cookies</v>
          </cell>
        </row>
        <row r="765">
          <cell r="A765" t="str">
            <v>10105</v>
          </cell>
          <cell r="C765" t="str">
            <v>Limon Cookies</v>
          </cell>
        </row>
        <row r="766">
          <cell r="A766" t="str">
            <v>10106</v>
          </cell>
          <cell r="C766" t="str">
            <v>Brownie Cookies</v>
          </cell>
        </row>
        <row r="767">
          <cell r="A767" t="str">
            <v>10107</v>
          </cell>
          <cell r="C767" t="str">
            <v>Triples</v>
          </cell>
        </row>
      </sheetData>
      <sheetData sheetId="30"/>
      <sheetData sheetId="31"/>
      <sheetData sheetId="32"/>
      <sheetData sheetId="33">
        <row r="3">
          <cell r="A3" t="str">
            <v>001</v>
          </cell>
          <cell r="B3" t="str">
            <v>AMODIL</v>
          </cell>
          <cell r="C3">
            <v>6</v>
          </cell>
          <cell r="D3" t="str">
            <v>Intendente Neyer 1643; Beccar</v>
          </cell>
          <cell r="F3" t="str">
            <v>Envio Saldo los 1 eros por Mail</v>
          </cell>
          <cell r="G3" t="str">
            <v>rrhh@amodil.com     German</v>
          </cell>
          <cell r="H3" t="str">
            <v>CC</v>
          </cell>
          <cell r="I3" t="str">
            <v>Mensual</v>
          </cell>
          <cell r="J3" t="str">
            <v>Efectivo</v>
          </cell>
          <cell r="M3" t="str">
            <v>5:30 hs</v>
          </cell>
        </row>
        <row r="4">
          <cell r="A4" t="str">
            <v>002</v>
          </cell>
          <cell r="B4" t="str">
            <v>PAN DE ANGEL</v>
          </cell>
          <cell r="C4">
            <v>5</v>
          </cell>
          <cell r="D4" t="str">
            <v>Gral  guido 1143 Beccar</v>
          </cell>
          <cell r="E4">
            <v>1</v>
          </cell>
          <cell r="F4" t="str">
            <v>Envio saldo los Lunes temprano</v>
          </cell>
          <cell r="G4" t="str">
            <v>11-3637-6383 ANA</v>
          </cell>
          <cell r="H4" t="str">
            <v>CC</v>
          </cell>
          <cell r="I4" t="str">
            <v>Semanal</v>
          </cell>
          <cell r="K4" t="str">
            <v>Semanal</v>
          </cell>
          <cell r="L4" t="str">
            <v>A</v>
          </cell>
          <cell r="M4" t="str">
            <v>6/7AM</v>
          </cell>
        </row>
        <row r="5">
          <cell r="A5" t="str">
            <v>003</v>
          </cell>
          <cell r="B5" t="str">
            <v>MONICA TUYUTI</v>
          </cell>
          <cell r="C5">
            <v>5</v>
          </cell>
          <cell r="D5" t="str">
            <v>Tuyuti 780, Tigre, Rincon</v>
          </cell>
          <cell r="E5">
            <v>1</v>
          </cell>
          <cell r="G5" t="str">
            <v>11 5806-2475</v>
          </cell>
          <cell r="H5" t="str">
            <v>Contado</v>
          </cell>
          <cell r="I5" t="str">
            <v>Diario</v>
          </cell>
          <cell r="J5" t="str">
            <v>Efectivo</v>
          </cell>
          <cell r="M5" t="str">
            <v>8:00 hs</v>
          </cell>
        </row>
        <row r="6">
          <cell r="A6" t="str">
            <v>004</v>
          </cell>
          <cell r="B6" t="str">
            <v xml:space="preserve">V Y B </v>
          </cell>
          <cell r="C6">
            <v>5</v>
          </cell>
          <cell r="D6" t="str">
            <v>Tuyuti 231</v>
          </cell>
          <cell r="E6">
            <v>1</v>
          </cell>
          <cell r="G6" t="str">
            <v>11 6112-4865</v>
          </cell>
          <cell r="H6" t="str">
            <v>Contado</v>
          </cell>
          <cell r="I6" t="str">
            <v>Diario</v>
          </cell>
          <cell r="J6" t="str">
            <v>Efectivo</v>
          </cell>
        </row>
        <row r="7">
          <cell r="A7" t="str">
            <v>005</v>
          </cell>
          <cell r="B7" t="str">
            <v>CRISTIAN</v>
          </cell>
          <cell r="C7">
            <v>5</v>
          </cell>
          <cell r="D7" t="str">
            <v>BENITO LYNCH 654</v>
          </cell>
          <cell r="G7" t="str">
            <v>11-3647-1079</v>
          </cell>
        </row>
        <row r="8">
          <cell r="A8" t="str">
            <v>006</v>
          </cell>
          <cell r="B8" t="str">
            <v>LOS ANTOJOS</v>
          </cell>
          <cell r="C8">
            <v>5</v>
          </cell>
          <cell r="D8" t="str">
            <v>Martin Rodriguez 323</v>
          </cell>
          <cell r="E8">
            <v>1</v>
          </cell>
          <cell r="F8" t="str">
            <v>Envio saldo los Lunes temprano</v>
          </cell>
          <cell r="G8" t="str">
            <v>11 3471-0455</v>
          </cell>
          <cell r="H8" t="str">
            <v>CC</v>
          </cell>
          <cell r="I8" t="str">
            <v>Semanal</v>
          </cell>
          <cell r="J8" t="str">
            <v>Efectivo</v>
          </cell>
          <cell r="M8" t="str">
            <v>8:00hs</v>
          </cell>
        </row>
        <row r="9">
          <cell r="A9" t="str">
            <v>007</v>
          </cell>
          <cell r="B9" t="str">
            <v>LINIERS</v>
          </cell>
          <cell r="C9">
            <v>6</v>
          </cell>
          <cell r="D9" t="str">
            <v>Av Liniers 1699; Tigre</v>
          </cell>
          <cell r="E9">
            <v>4</v>
          </cell>
          <cell r="F9" t="str">
            <v>Envio Saldo a Matias 1 ero de mes</v>
          </cell>
          <cell r="G9" t="str">
            <v>Celu Pana</v>
          </cell>
          <cell r="H9" t="str">
            <v>CC</v>
          </cell>
          <cell r="I9" t="str">
            <v>Mensual</v>
          </cell>
          <cell r="J9" t="str">
            <v>Efectivo</v>
          </cell>
          <cell r="M9" t="str">
            <v>6:30hs</v>
          </cell>
        </row>
        <row r="10">
          <cell r="A10" t="str">
            <v>008</v>
          </cell>
          <cell r="B10" t="str">
            <v>MARCOS SASTRE</v>
          </cell>
          <cell r="C10">
            <v>9</v>
          </cell>
          <cell r="D10" t="str">
            <v>BELGRANO 620, TIGRE</v>
          </cell>
          <cell r="E10">
            <v>4</v>
          </cell>
          <cell r="G10" t="str">
            <v>1140895492 - martin</v>
          </cell>
          <cell r="H10" t="str">
            <v>Contado</v>
          </cell>
          <cell r="I10" t="str">
            <v>Diario</v>
          </cell>
          <cell r="J10" t="str">
            <v>Efectivo</v>
          </cell>
          <cell r="M10" t="str">
            <v>7/7:30</v>
          </cell>
        </row>
        <row r="11">
          <cell r="A11" t="str">
            <v>009</v>
          </cell>
          <cell r="B11" t="str">
            <v>ALICIA</v>
          </cell>
          <cell r="C11">
            <v>5</v>
          </cell>
          <cell r="D11" t="str">
            <v>Montevideo y Albarellos; Tigre</v>
          </cell>
          <cell r="E11">
            <v>1</v>
          </cell>
          <cell r="G11" t="str">
            <v>11 2317-0381</v>
          </cell>
          <cell r="H11" t="str">
            <v>Contado</v>
          </cell>
          <cell r="I11" t="str">
            <v>Diario</v>
          </cell>
          <cell r="J11" t="str">
            <v>Efectivo</v>
          </cell>
          <cell r="M11" t="str">
            <v>9:00 hs</v>
          </cell>
        </row>
        <row r="12">
          <cell r="A12" t="str">
            <v>011</v>
          </cell>
          <cell r="B12" t="str">
            <v>DERIVA RESTO</v>
          </cell>
          <cell r="C12">
            <v>5</v>
          </cell>
          <cell r="D12" t="str">
            <v>Catamarca 2291, entre bogota y caracas</v>
          </cell>
          <cell r="E12">
            <v>1</v>
          </cell>
          <cell r="G12">
            <v>114481001</v>
          </cell>
          <cell r="H12" t="str">
            <v>Contado</v>
          </cell>
          <cell r="J12" t="str">
            <v>Efectivo</v>
          </cell>
          <cell r="M12" t="str">
            <v>12hs</v>
          </cell>
        </row>
        <row r="13">
          <cell r="A13" t="str">
            <v>012</v>
          </cell>
          <cell r="B13" t="str">
            <v>ARROYO FELIPE</v>
          </cell>
          <cell r="C13">
            <v>5</v>
          </cell>
          <cell r="D13" t="str">
            <v>Estacion Fluvial; Tigre</v>
          </cell>
          <cell r="E13">
            <v>1</v>
          </cell>
          <cell r="F13" t="str">
            <v>Generalmente paga los Domingos sin que le pase la cuenta</v>
          </cell>
          <cell r="G13">
            <v>1165705202</v>
          </cell>
          <cell r="H13" t="str">
            <v>CC</v>
          </cell>
          <cell r="I13" t="str">
            <v>Semanal</v>
          </cell>
          <cell r="J13" t="str">
            <v>MP</v>
          </cell>
          <cell r="M13" t="str">
            <v>8:00hs</v>
          </cell>
        </row>
        <row r="14">
          <cell r="A14" t="str">
            <v>013</v>
          </cell>
          <cell r="B14" t="str">
            <v>ANA PUERTO</v>
          </cell>
          <cell r="C14">
            <v>5</v>
          </cell>
          <cell r="D14" t="str">
            <v xml:space="preserve">sauces y los eucaliptos </v>
          </cell>
          <cell r="G14">
            <v>1135975082</v>
          </cell>
          <cell r="H14" t="str">
            <v>CONTADO</v>
          </cell>
          <cell r="I14" t="str">
            <v>DIARIO</v>
          </cell>
          <cell r="J14" t="str">
            <v>MP</v>
          </cell>
        </row>
        <row r="15">
          <cell r="A15" t="str">
            <v>014</v>
          </cell>
          <cell r="B15" t="str">
            <v>VIVANCO</v>
          </cell>
          <cell r="C15">
            <v>7</v>
          </cell>
          <cell r="D15" t="str">
            <v>Bartolome Mitre 74; Tigre</v>
          </cell>
          <cell r="F15" t="str">
            <v>Envio saldo los Lunes temprano</v>
          </cell>
          <cell r="G15" t="str">
            <v>1155123719 Federico</v>
          </cell>
          <cell r="H15" t="str">
            <v>CC</v>
          </cell>
          <cell r="I15" t="str">
            <v>Cheque</v>
          </cell>
          <cell r="J15" t="str">
            <v>Semanal</v>
          </cell>
          <cell r="L15" t="str">
            <v>A</v>
          </cell>
          <cell r="M15" t="str">
            <v>7:00hs</v>
          </cell>
        </row>
        <row r="16">
          <cell r="A16" t="str">
            <v>016</v>
          </cell>
          <cell r="B16" t="str">
            <v>EL VASCO</v>
          </cell>
          <cell r="C16">
            <v>5</v>
          </cell>
          <cell r="D16" t="str">
            <v>Av Cazon 1487; Tigre</v>
          </cell>
          <cell r="E16">
            <v>7</v>
          </cell>
          <cell r="G16" t="str">
            <v>11 3696-6563</v>
          </cell>
          <cell r="H16" t="str">
            <v>Contado</v>
          </cell>
          <cell r="I16" t="str">
            <v>Diario</v>
          </cell>
          <cell r="J16" t="str">
            <v>Efectivo</v>
          </cell>
          <cell r="M16" t="str">
            <v>9/10 hs</v>
          </cell>
        </row>
        <row r="17">
          <cell r="A17" t="str">
            <v>017</v>
          </cell>
          <cell r="B17" t="str">
            <v>TIGRE MARKET</v>
          </cell>
          <cell r="C17">
            <v>5</v>
          </cell>
          <cell r="D17" t="str">
            <v>Castelli 176; Tigre</v>
          </cell>
          <cell r="E17">
            <v>8</v>
          </cell>
          <cell r="F17" t="str">
            <v>Envio el saldo 1 ero de mes</v>
          </cell>
          <cell r="G17" t="str">
            <v>1133639999 Coco</v>
          </cell>
          <cell r="H17" t="str">
            <v>CC</v>
          </cell>
          <cell r="I17" t="str">
            <v>Mensual</v>
          </cell>
          <cell r="J17" t="str">
            <v>Efectivo</v>
          </cell>
          <cell r="M17" t="str">
            <v>10:30 hs</v>
          </cell>
        </row>
        <row r="18">
          <cell r="A18" t="str">
            <v>018</v>
          </cell>
          <cell r="B18" t="str">
            <v>EL BODEGON</v>
          </cell>
          <cell r="C18">
            <v>5</v>
          </cell>
          <cell r="D18" t="str">
            <v>Italia 1398; Tigre</v>
          </cell>
          <cell r="E18">
            <v>1</v>
          </cell>
          <cell r="G18" t="str">
            <v>1160188678 Maria</v>
          </cell>
          <cell r="H18" t="str">
            <v>Contado</v>
          </cell>
          <cell r="I18" t="str">
            <v>Diario</v>
          </cell>
          <cell r="J18" t="str">
            <v>Efectivo</v>
          </cell>
          <cell r="M18" t="str">
            <v>9/10 hs</v>
          </cell>
        </row>
        <row r="19">
          <cell r="A19" t="str">
            <v>019</v>
          </cell>
          <cell r="B19" t="str">
            <v>SABORES DUT</v>
          </cell>
          <cell r="C19">
            <v>5</v>
          </cell>
          <cell r="D19" t="str">
            <v>Remeros Dut Manzana 6 Local 8; Tigre, Rincon</v>
          </cell>
          <cell r="E19">
            <v>9</v>
          </cell>
          <cell r="G19" t="str">
            <v>11 3334-4579</v>
          </cell>
          <cell r="H19" t="str">
            <v>Contado</v>
          </cell>
          <cell r="I19" t="str">
            <v>Diario</v>
          </cell>
          <cell r="J19" t="str">
            <v>Efectivo</v>
          </cell>
          <cell r="M19" t="str">
            <v>9:00hs</v>
          </cell>
        </row>
        <row r="20">
          <cell r="A20" t="str">
            <v>020</v>
          </cell>
          <cell r="B20" t="str">
            <v>GRACIELA BILOCH</v>
          </cell>
          <cell r="C20">
            <v>5</v>
          </cell>
          <cell r="D20" t="str">
            <v>Billoch 375; Tigre</v>
          </cell>
          <cell r="E20">
            <v>10</v>
          </cell>
          <cell r="G20" t="str">
            <v>11 2462-2531</v>
          </cell>
          <cell r="M20" t="str">
            <v>9:00hs</v>
          </cell>
        </row>
        <row r="21">
          <cell r="A21" t="str">
            <v>021</v>
          </cell>
          <cell r="B21" t="str">
            <v>GRANJA C Y S</v>
          </cell>
          <cell r="C21">
            <v>5</v>
          </cell>
          <cell r="D21" t="str">
            <v>Williams 888;  Tigre</v>
          </cell>
          <cell r="E21">
            <v>2</v>
          </cell>
          <cell r="G21" t="str">
            <v>11 6357-9321</v>
          </cell>
          <cell r="H21" t="str">
            <v>Contado</v>
          </cell>
          <cell r="I21" t="str">
            <v>Diario</v>
          </cell>
          <cell r="J21" t="str">
            <v>Efectivo</v>
          </cell>
          <cell r="M21" t="str">
            <v xml:space="preserve">9/10hs </v>
          </cell>
        </row>
        <row r="22">
          <cell r="A22" t="str">
            <v>022</v>
          </cell>
          <cell r="B22" t="str">
            <v>ISLEÑOS PARRILLA</v>
          </cell>
          <cell r="C22">
            <v>5</v>
          </cell>
          <cell r="D22" t="str">
            <v>SARMIENTO 49</v>
          </cell>
          <cell r="G22">
            <v>1151458641</v>
          </cell>
          <cell r="H22" t="str">
            <v>Contado</v>
          </cell>
          <cell r="I22" t="str">
            <v>diario</v>
          </cell>
          <cell r="J22" t="str">
            <v>efectivo</v>
          </cell>
          <cell r="M22" t="str">
            <v>9/10 AM</v>
          </cell>
        </row>
        <row r="23">
          <cell r="A23" t="str">
            <v>023</v>
          </cell>
          <cell r="B23" t="str">
            <v>TIMON DORADO</v>
          </cell>
          <cell r="C23">
            <v>5</v>
          </cell>
          <cell r="D23" t="str">
            <v>Estacion Fluvial; Tigre</v>
          </cell>
          <cell r="E23">
            <v>11</v>
          </cell>
          <cell r="F23" t="str">
            <v>Envio saldo los Lunes temprano ( paga a semana vencida )</v>
          </cell>
          <cell r="G23" t="str">
            <v>1144260007 Romina</v>
          </cell>
          <cell r="H23" t="str">
            <v>CC</v>
          </cell>
          <cell r="I23" t="str">
            <v>Semanal</v>
          </cell>
          <cell r="J23" t="str">
            <v>MP</v>
          </cell>
          <cell r="K23" t="str">
            <v>Se factura cuando transfiere</v>
          </cell>
          <cell r="L23" t="str">
            <v>B</v>
          </cell>
          <cell r="M23" t="str">
            <v>8:00 hs</v>
          </cell>
        </row>
        <row r="24">
          <cell r="A24" t="str">
            <v>024</v>
          </cell>
          <cell r="B24" t="str">
            <v xml:space="preserve">LA VIEJA CAZONA </v>
          </cell>
          <cell r="C24">
            <v>5</v>
          </cell>
          <cell r="D24" t="str">
            <v>25DE MAYO 1810</v>
          </cell>
        </row>
        <row r="25">
          <cell r="A25" t="str">
            <v>025</v>
          </cell>
          <cell r="B25" t="str">
            <v>FLANDERS Susana</v>
          </cell>
          <cell r="C25">
            <v>5</v>
          </cell>
          <cell r="D25" t="str">
            <v>VIVANCO 1338/1342</v>
          </cell>
          <cell r="G25" t="str">
            <v>11-4947-8133</v>
          </cell>
          <cell r="J25" t="str">
            <v>EFECTIVO</v>
          </cell>
        </row>
        <row r="26">
          <cell r="A26" t="str">
            <v>026</v>
          </cell>
          <cell r="B26" t="str">
            <v>GLORIAS</v>
          </cell>
          <cell r="C26">
            <v>9</v>
          </cell>
          <cell r="D26" t="str">
            <v>Av Dardo Rocha 919; Tigre</v>
          </cell>
          <cell r="E26">
            <v>12</v>
          </cell>
          <cell r="F26" t="str">
            <v>Envio saldo los Lunes temprano</v>
          </cell>
          <cell r="G26" t="str">
            <v>1169033138 Lucas</v>
          </cell>
          <cell r="H26" t="str">
            <v>CC</v>
          </cell>
          <cell r="I26" t="str">
            <v>Semanal</v>
          </cell>
          <cell r="J26" t="str">
            <v>Efectivo</v>
          </cell>
          <cell r="M26" t="str">
            <v>7 y 9 hs</v>
          </cell>
        </row>
        <row r="27">
          <cell r="A27" t="str">
            <v>027</v>
          </cell>
          <cell r="B27" t="str">
            <v>POMPEYA</v>
          </cell>
          <cell r="C27">
            <v>5</v>
          </cell>
          <cell r="D27" t="str">
            <v>Av Cazon 1186; Tigre</v>
          </cell>
          <cell r="E27">
            <v>13</v>
          </cell>
          <cell r="F27" t="str">
            <v>Envio saldo los Lunes temprano</v>
          </cell>
          <cell r="G27" t="str">
            <v>1163362559 Lorena</v>
          </cell>
          <cell r="H27" t="str">
            <v>CC</v>
          </cell>
          <cell r="I27" t="str">
            <v>Semanal</v>
          </cell>
          <cell r="J27" t="str">
            <v>Efectivo</v>
          </cell>
          <cell r="M27" t="str">
            <v>10 hs</v>
          </cell>
        </row>
        <row r="28">
          <cell r="A28" t="str">
            <v>028</v>
          </cell>
          <cell r="B28" t="str">
            <v>ROWING</v>
          </cell>
          <cell r="C28">
            <v>5</v>
          </cell>
          <cell r="D28" t="str">
            <v>Coronel Morales 1563; Tigre</v>
          </cell>
          <cell r="E28">
            <v>1</v>
          </cell>
          <cell r="F28" t="str">
            <v>Envio Saldo 1ero de mes</v>
          </cell>
          <cell r="G28" t="str">
            <v>1157229213 Agustin</v>
          </cell>
          <cell r="H28" t="str">
            <v>CC</v>
          </cell>
          <cell r="I28" t="str">
            <v>Mensual</v>
          </cell>
          <cell r="J28" t="str">
            <v>Efectivo</v>
          </cell>
          <cell r="K28" t="str">
            <v>Mensual</v>
          </cell>
          <cell r="L28" t="str">
            <v>A</v>
          </cell>
          <cell r="M28" t="str">
            <v>10hs</v>
          </cell>
        </row>
        <row r="29">
          <cell r="A29" t="str">
            <v>029</v>
          </cell>
          <cell r="B29" t="str">
            <v>JUNIOR FUDTRUCK</v>
          </cell>
          <cell r="C29">
            <v>5</v>
          </cell>
          <cell r="D29" t="str">
            <v>LUIS GARCIA 1765</v>
          </cell>
          <cell r="G29" t="str">
            <v>11-6571-3354</v>
          </cell>
          <cell r="H29" t="str">
            <v>CC</v>
          </cell>
          <cell r="M29" t="str">
            <v>9/10HS</v>
          </cell>
        </row>
        <row r="30">
          <cell r="A30" t="str">
            <v>030</v>
          </cell>
        </row>
        <row r="31">
          <cell r="A31" t="str">
            <v>031</v>
          </cell>
          <cell r="B31" t="str">
            <v>TIA LITA</v>
          </cell>
          <cell r="C31">
            <v>7</v>
          </cell>
          <cell r="D31" t="str">
            <v>Paseo Victorica 134; Tigre</v>
          </cell>
          <cell r="E31">
            <v>15</v>
          </cell>
          <cell r="F31" t="str">
            <v>Envio saldo los Lunes temprano</v>
          </cell>
          <cell r="G31" t="str">
            <v>1162701894 Maxi</v>
          </cell>
          <cell r="H31" t="str">
            <v>CC</v>
          </cell>
          <cell r="I31" t="str">
            <v>Semanal</v>
          </cell>
          <cell r="J31" t="str">
            <v>MP</v>
          </cell>
          <cell r="K31" t="str">
            <v>Semanal</v>
          </cell>
          <cell r="L31" t="str">
            <v>A</v>
          </cell>
          <cell r="M31" t="str">
            <v>11/12hs</v>
          </cell>
        </row>
        <row r="32">
          <cell r="A32" t="str">
            <v>032</v>
          </cell>
          <cell r="B32" t="str">
            <v>CLUB TIGRE JUNIORS</v>
          </cell>
          <cell r="C32">
            <v>5</v>
          </cell>
          <cell r="D32" t="str">
            <v>AV. CAZON 646</v>
          </cell>
        </row>
        <row r="33">
          <cell r="A33" t="str">
            <v>033</v>
          </cell>
          <cell r="B33" t="str">
            <v>NEGRI</v>
          </cell>
          <cell r="C33">
            <v>9</v>
          </cell>
          <cell r="D33" t="str">
            <v>Sarmiento 7; Tigre Puerto de Frutos</v>
          </cell>
          <cell r="E33">
            <v>1</v>
          </cell>
          <cell r="F33" t="str">
            <v>Envio Saldo Los Lunes Luego de las 10:00 am</v>
          </cell>
          <cell r="G33" t="str">
            <v>1160439139 Agustin</v>
          </cell>
          <cell r="H33" t="str">
            <v>CC</v>
          </cell>
          <cell r="I33" t="str">
            <v>Semanal</v>
          </cell>
          <cell r="J33" t="str">
            <v>MP</v>
          </cell>
          <cell r="K33" t="str">
            <v>Semanal</v>
          </cell>
          <cell r="L33" t="str">
            <v>A</v>
          </cell>
          <cell r="M33" t="str">
            <v>9/10 hs</v>
          </cell>
        </row>
        <row r="34">
          <cell r="A34" t="str">
            <v>034</v>
          </cell>
          <cell r="B34" t="str">
            <v>PALAS</v>
          </cell>
          <cell r="C34">
            <v>5</v>
          </cell>
          <cell r="E34">
            <v>16</v>
          </cell>
          <cell r="F34" t="str">
            <v>Envio saldo los Lunes temprano</v>
          </cell>
          <cell r="G34" t="str">
            <v>1150369343 Federico</v>
          </cell>
          <cell r="H34" t="str">
            <v>CC</v>
          </cell>
          <cell r="I34" t="str">
            <v>Semanal</v>
          </cell>
          <cell r="J34" t="str">
            <v>Efectivo</v>
          </cell>
          <cell r="M34" t="str">
            <v>RETIRA</v>
          </cell>
        </row>
        <row r="35">
          <cell r="A35" t="str">
            <v>035</v>
          </cell>
          <cell r="B35" t="str">
            <v>IL FIUME</v>
          </cell>
          <cell r="C35">
            <v>5</v>
          </cell>
          <cell r="D35" t="str">
            <v>Paseo Victorica 96;  Tigre</v>
          </cell>
          <cell r="E35">
            <v>1</v>
          </cell>
          <cell r="G35" t="str">
            <v>1151644583 Lucas</v>
          </cell>
          <cell r="H35" t="str">
            <v>Contado</v>
          </cell>
          <cell r="I35" t="str">
            <v>Diario</v>
          </cell>
          <cell r="J35" t="str">
            <v>Efectivo</v>
          </cell>
          <cell r="M35" t="str">
            <v>9/10 hs</v>
          </cell>
        </row>
        <row r="36">
          <cell r="A36" t="str">
            <v>036</v>
          </cell>
          <cell r="B36" t="str">
            <v>COLEGIO MARCOS SASTRE</v>
          </cell>
          <cell r="C36">
            <v>5</v>
          </cell>
          <cell r="D36" t="str">
            <v>LINIERS 1024, TIGRE</v>
          </cell>
          <cell r="E36">
            <v>13</v>
          </cell>
          <cell r="G36">
            <v>1140895492</v>
          </cell>
          <cell r="J36" t="str">
            <v>Efectivo</v>
          </cell>
          <cell r="M36" t="str">
            <v>8/9HS</v>
          </cell>
        </row>
        <row r="37">
          <cell r="A37" t="str">
            <v>037</v>
          </cell>
          <cell r="B37" t="str">
            <v>AGUSTIN/LUCAS CARNICERIA</v>
          </cell>
          <cell r="C37">
            <v>5</v>
          </cell>
          <cell r="D37" t="str">
            <v>RETIRA MOSTRADOR</v>
          </cell>
          <cell r="E37">
            <v>1</v>
          </cell>
          <cell r="G37" t="str">
            <v>11 3625-8788</v>
          </cell>
          <cell r="M37" t="str">
            <v>RETIRA 7AM</v>
          </cell>
        </row>
        <row r="38">
          <cell r="A38" t="str">
            <v>038</v>
          </cell>
          <cell r="B38" t="str">
            <v>ALCAZAR</v>
          </cell>
          <cell r="C38">
            <v>5</v>
          </cell>
          <cell r="D38" t="str">
            <v>RETIRA O STURLA</v>
          </cell>
          <cell r="E38">
            <v>1</v>
          </cell>
          <cell r="F38" t="str">
            <v>Envio saldo los Lunes temprano</v>
          </cell>
          <cell r="G38" t="str">
            <v>1154199431 Marcelo</v>
          </cell>
          <cell r="H38" t="str">
            <v>CC</v>
          </cell>
          <cell r="I38" t="str">
            <v>Semanal</v>
          </cell>
          <cell r="J38" t="str">
            <v>MP/Efectivo</v>
          </cell>
          <cell r="K38" t="str">
            <v>Cuando Trasnfiere</v>
          </cell>
          <cell r="L38" t="str">
            <v>B</v>
          </cell>
          <cell r="M38" t="str">
            <v>RETIRA 7AM</v>
          </cell>
        </row>
        <row r="39">
          <cell r="A39" t="str">
            <v>039</v>
          </cell>
          <cell r="B39" t="str">
            <v>BEMVELON/REMO</v>
          </cell>
          <cell r="C39">
            <v>5</v>
          </cell>
          <cell r="D39" t="str">
            <v>RETIRA MOSTRADOR</v>
          </cell>
          <cell r="E39">
            <v>11</v>
          </cell>
          <cell r="G39" t="str">
            <v>11 5829-7725</v>
          </cell>
          <cell r="H39" t="str">
            <v>contado</v>
          </cell>
          <cell r="I39" t="str">
            <v>diario</v>
          </cell>
          <cell r="J39" t="str">
            <v>mp</v>
          </cell>
        </row>
        <row r="40">
          <cell r="A40" t="str">
            <v>041</v>
          </cell>
          <cell r="B40" t="str">
            <v>ALDO PASTAS</v>
          </cell>
          <cell r="C40">
            <v>6</v>
          </cell>
          <cell r="D40" t="str">
            <v>Hipólito y Irigoyen 301, ESQ ITALIA</v>
          </cell>
          <cell r="H40" t="str">
            <v>CC</v>
          </cell>
          <cell r="M40" t="str">
            <v>8:30/9</v>
          </cell>
        </row>
        <row r="41">
          <cell r="A41" t="str">
            <v>042</v>
          </cell>
          <cell r="B41" t="str">
            <v>ARBOX - NORLOG</v>
          </cell>
          <cell r="C41">
            <v>5</v>
          </cell>
          <cell r="D41" t="str">
            <v>AV. PRES. PERON 4749, BENAVIDEZ</v>
          </cell>
          <cell r="H41" t="str">
            <v>CC</v>
          </cell>
          <cell r="I41" t="str">
            <v>SEMANAL</v>
          </cell>
          <cell r="M41">
            <v>0.25</v>
          </cell>
        </row>
        <row r="42">
          <cell r="A42" t="str">
            <v>043</v>
          </cell>
          <cell r="B42" t="str">
            <v>BORASO</v>
          </cell>
          <cell r="C42">
            <v>5</v>
          </cell>
          <cell r="D42" t="str">
            <v>RETIRA MOSTRADOR</v>
          </cell>
          <cell r="E42">
            <v>1</v>
          </cell>
          <cell r="F42" t="str">
            <v>Envio Saldo 1ero de mes</v>
          </cell>
          <cell r="G42" t="str">
            <v>1161037893 Ramiro</v>
          </cell>
          <cell r="H42" t="str">
            <v>CC</v>
          </cell>
          <cell r="I42" t="str">
            <v>Mensual</v>
          </cell>
          <cell r="J42" t="str">
            <v>Efectivo</v>
          </cell>
          <cell r="K42" t="str">
            <v>Mensual</v>
          </cell>
          <cell r="M42" t="str">
            <v>RETIRA 9/10hs</v>
          </cell>
        </row>
        <row r="43">
          <cell r="A43" t="str">
            <v>044</v>
          </cell>
          <cell r="B43" t="str">
            <v>CATERING BRAZZI</v>
          </cell>
          <cell r="C43">
            <v>5</v>
          </cell>
          <cell r="D43" t="str">
            <v>ITUZAINGO 1876, SAN FERNANDO</v>
          </cell>
          <cell r="E43">
            <v>17</v>
          </cell>
          <cell r="F43" t="str">
            <v>Envio saldo los Lunes temprano</v>
          </cell>
          <cell r="G43" t="str">
            <v>1169021207 Pablo</v>
          </cell>
          <cell r="H43" t="str">
            <v>CC</v>
          </cell>
          <cell r="I43" t="str">
            <v>Semanal</v>
          </cell>
          <cell r="J43" t="str">
            <v>Transferencia</v>
          </cell>
          <cell r="K43" t="str">
            <v>Semanal</v>
          </cell>
          <cell r="L43" t="str">
            <v>A</v>
          </cell>
        </row>
        <row r="44">
          <cell r="A44" t="str">
            <v>045</v>
          </cell>
          <cell r="B44" t="str">
            <v>ABUELA TOTO</v>
          </cell>
          <cell r="C44">
            <v>5</v>
          </cell>
          <cell r="D44" t="str">
            <v xml:space="preserve">Avenida Italia 417, Tigre </v>
          </cell>
          <cell r="E44">
            <v>18</v>
          </cell>
          <cell r="G44">
            <v>1131217957</v>
          </cell>
          <cell r="H44" t="str">
            <v>contado</v>
          </cell>
          <cell r="I44" t="str">
            <v>DIARIO</v>
          </cell>
          <cell r="J44" t="str">
            <v>EFECTIVO</v>
          </cell>
          <cell r="M44" t="str">
            <v>9HS</v>
          </cell>
        </row>
        <row r="45">
          <cell r="A45" t="str">
            <v>046</v>
          </cell>
          <cell r="B45" t="str">
            <v>PLAZA CAFÉ</v>
          </cell>
          <cell r="C45">
            <v>5</v>
          </cell>
          <cell r="D45" t="str">
            <v>AV ITALIA 1199</v>
          </cell>
          <cell r="G45" t="str">
            <v>1155889731 MIGUEL</v>
          </cell>
          <cell r="H45" t="str">
            <v>CC</v>
          </cell>
          <cell r="I45" t="str">
            <v>SEMANAL</v>
          </cell>
          <cell r="M45" t="str">
            <v xml:space="preserve">10/12HS </v>
          </cell>
        </row>
        <row r="46">
          <cell r="A46" t="str">
            <v>047</v>
          </cell>
          <cell r="B46" t="str">
            <v>JUANCHO 2</v>
          </cell>
          <cell r="C46">
            <v>6</v>
          </cell>
          <cell r="D46" t="str">
            <v>Alexis Carrel 481; Los Troncos</v>
          </cell>
          <cell r="E46">
            <v>19</v>
          </cell>
          <cell r="G46" t="str">
            <v>1149276751 Claudio</v>
          </cell>
          <cell r="H46" t="str">
            <v>CC</v>
          </cell>
          <cell r="I46" t="str">
            <v>Efectivo</v>
          </cell>
          <cell r="J46" t="str">
            <v>A dia Vencido</v>
          </cell>
          <cell r="M46" t="str">
            <v>7hs</v>
          </cell>
        </row>
        <row r="47">
          <cell r="A47" t="str">
            <v>048</v>
          </cell>
        </row>
        <row r="48">
          <cell r="A48" t="str">
            <v>049</v>
          </cell>
          <cell r="B48" t="str">
            <v>GUERE GUERE RINCON</v>
          </cell>
          <cell r="C48">
            <v>5</v>
          </cell>
          <cell r="D48" t="str">
            <v>Williams 910;  Tigre, Rincon</v>
          </cell>
          <cell r="E48">
            <v>20</v>
          </cell>
          <cell r="F48" t="str">
            <v>Envio saldo los Lunes temprano</v>
          </cell>
          <cell r="G48" t="str">
            <v>1136929633 Sebastian</v>
          </cell>
          <cell r="H48" t="str">
            <v>CC</v>
          </cell>
          <cell r="I48" t="str">
            <v>Semanal</v>
          </cell>
          <cell r="J48" t="str">
            <v>Efectivo</v>
          </cell>
          <cell r="M48" t="str">
            <v>7/8hs</v>
          </cell>
        </row>
        <row r="49">
          <cell r="A49" t="str">
            <v>050</v>
          </cell>
          <cell r="B49" t="str">
            <v>DESPENSA BELTRAN</v>
          </cell>
          <cell r="C49">
            <v>5</v>
          </cell>
          <cell r="D49" t="str">
            <v xml:space="preserve">BELTRAN 1426 </v>
          </cell>
          <cell r="F49" t="str">
            <v>TODOS LOS DIAS</v>
          </cell>
          <cell r="G49" t="str">
            <v>11-2562-9869</v>
          </cell>
          <cell r="H49" t="str">
            <v>contado</v>
          </cell>
          <cell r="J49" t="str">
            <v>Efectivo</v>
          </cell>
          <cell r="M49" t="str">
            <v>8/9hs</v>
          </cell>
        </row>
        <row r="50">
          <cell r="A50" t="str">
            <v>051</v>
          </cell>
          <cell r="B50" t="str">
            <v>TUTTO SAN FERNANDO</v>
          </cell>
          <cell r="C50">
            <v>5</v>
          </cell>
          <cell r="D50" t="str">
            <v>Constitucion 1148;  San Fernando</v>
          </cell>
          <cell r="E50">
            <v>21</v>
          </cell>
          <cell r="G50" t="str">
            <v>11 3502-4484</v>
          </cell>
          <cell r="H50" t="str">
            <v>Contado</v>
          </cell>
          <cell r="I50" t="str">
            <v>Diario</v>
          </cell>
          <cell r="J50" t="str">
            <v>Efectivo</v>
          </cell>
          <cell r="L50" t="str">
            <v>Mensual</v>
          </cell>
          <cell r="M50" t="str">
            <v>5:30/6hs</v>
          </cell>
        </row>
        <row r="51">
          <cell r="A51" t="str">
            <v>052</v>
          </cell>
          <cell r="B51" t="str">
            <v>LA CREMONA</v>
          </cell>
          <cell r="C51">
            <v>5</v>
          </cell>
          <cell r="D51" t="str">
            <v>Av Avellaneda 1595;  San Fernando</v>
          </cell>
          <cell r="E51">
            <v>21</v>
          </cell>
          <cell r="G51" t="str">
            <v>1127350055 Alejandro</v>
          </cell>
          <cell r="H51" t="str">
            <v>Contado</v>
          </cell>
          <cell r="I51" t="str">
            <v>Diario</v>
          </cell>
          <cell r="J51" t="str">
            <v>Efectivo</v>
          </cell>
          <cell r="M51" t="str">
            <v>6/6:30hs</v>
          </cell>
        </row>
        <row r="52">
          <cell r="A52" t="str">
            <v>053</v>
          </cell>
          <cell r="B52" t="str">
            <v>AL AMANECER</v>
          </cell>
          <cell r="C52">
            <v>5</v>
          </cell>
          <cell r="D52" t="str">
            <v>CARLOS CASARES 4115, VICTORIA</v>
          </cell>
          <cell r="G52" t="str">
            <v>11-3584-0499 JOAQUIN</v>
          </cell>
          <cell r="M52" t="str">
            <v>6/7 AM</v>
          </cell>
        </row>
        <row r="53">
          <cell r="A53" t="str">
            <v>054</v>
          </cell>
          <cell r="B53" t="str">
            <v>KIOSCO MAS 10</v>
          </cell>
          <cell r="C53">
            <v>5</v>
          </cell>
          <cell r="D53" t="str">
            <v>3 de febrero 300 (esquina de junin</v>
          </cell>
          <cell r="G53">
            <v>1158054560</v>
          </cell>
        </row>
        <row r="54">
          <cell r="A54" t="str">
            <v>055</v>
          </cell>
          <cell r="B54" t="str">
            <v>FRANCO GRANJA</v>
          </cell>
          <cell r="C54">
            <v>5</v>
          </cell>
        </row>
        <row r="55">
          <cell r="A55" t="str">
            <v>056</v>
          </cell>
        </row>
        <row r="56">
          <cell r="A56" t="str">
            <v>057</v>
          </cell>
        </row>
        <row r="57">
          <cell r="A57" t="str">
            <v>058</v>
          </cell>
        </row>
        <row r="58">
          <cell r="A58" t="str">
            <v>059</v>
          </cell>
        </row>
        <row r="59">
          <cell r="A59" t="str">
            <v>060</v>
          </cell>
          <cell r="B59" t="str">
            <v>Union Tigrense</v>
          </cell>
          <cell r="C59">
            <v>5</v>
          </cell>
          <cell r="D59" t="str">
            <v>ESTRADA 549, TIGRE</v>
          </cell>
          <cell r="E59">
            <v>1</v>
          </cell>
          <cell r="G59" t="str">
            <v>1134433515 Lucas</v>
          </cell>
          <cell r="H59" t="str">
            <v>Contado</v>
          </cell>
          <cell r="I59" t="str">
            <v>Diario</v>
          </cell>
          <cell r="J59" t="str">
            <v>Efectivo</v>
          </cell>
          <cell r="M59" t="str">
            <v>10/11hs</v>
          </cell>
        </row>
        <row r="60">
          <cell r="A60" t="str">
            <v>061</v>
          </cell>
        </row>
        <row r="61">
          <cell r="A61" t="str">
            <v>062</v>
          </cell>
        </row>
        <row r="62">
          <cell r="A62" t="str">
            <v>063</v>
          </cell>
          <cell r="B62" t="str">
            <v>Isla Bruma</v>
          </cell>
          <cell r="C62">
            <v>5</v>
          </cell>
          <cell r="D62" t="str">
            <v>Paseo Victorica 498; Tigre</v>
          </cell>
          <cell r="E62">
            <v>1</v>
          </cell>
          <cell r="G62" t="str">
            <v>1158055802 Bruno</v>
          </cell>
          <cell r="H62" t="str">
            <v>CC</v>
          </cell>
          <cell r="I62" t="str">
            <v>Semanal</v>
          </cell>
          <cell r="J62" t="str">
            <v>MP</v>
          </cell>
          <cell r="K62" t="str">
            <v>Cuando Trasnfiere</v>
          </cell>
          <cell r="L62" t="str">
            <v>B</v>
          </cell>
        </row>
        <row r="63">
          <cell r="A63" t="str">
            <v>064</v>
          </cell>
        </row>
        <row r="64">
          <cell r="A64" t="str">
            <v>065</v>
          </cell>
        </row>
        <row r="65">
          <cell r="A65" t="str">
            <v>066</v>
          </cell>
        </row>
        <row r="66">
          <cell r="A66" t="str">
            <v>067</v>
          </cell>
        </row>
        <row r="67">
          <cell r="A67" t="str">
            <v>068</v>
          </cell>
        </row>
        <row r="68">
          <cell r="A68" t="str">
            <v>069</v>
          </cell>
        </row>
        <row r="69">
          <cell r="A69" t="str">
            <v>070</v>
          </cell>
        </row>
        <row r="70">
          <cell r="A70" t="str">
            <v>071</v>
          </cell>
          <cell r="B70" t="str">
            <v>Sabores Dut Martinez</v>
          </cell>
          <cell r="C70">
            <v>5</v>
          </cell>
          <cell r="D70" t="str">
            <v>RETIRA MOSTRADOR</v>
          </cell>
          <cell r="E70">
            <v>9</v>
          </cell>
          <cell r="G70" t="str">
            <v>11 4199-5389</v>
          </cell>
          <cell r="H70" t="str">
            <v>contado</v>
          </cell>
          <cell r="I70" t="str">
            <v>diario</v>
          </cell>
          <cell r="J70" t="str">
            <v xml:space="preserve">efectivo </v>
          </cell>
        </row>
        <row r="71">
          <cell r="A71" t="str">
            <v>072</v>
          </cell>
        </row>
        <row r="72">
          <cell r="A72" t="str">
            <v>073</v>
          </cell>
        </row>
        <row r="73">
          <cell r="A73" t="str">
            <v>074</v>
          </cell>
        </row>
        <row r="74">
          <cell r="A74" t="str">
            <v>075</v>
          </cell>
          <cell r="B74" t="str">
            <v>Bar Marilyn</v>
          </cell>
          <cell r="C74">
            <v>5</v>
          </cell>
          <cell r="D74" t="str">
            <v>RETIRA MOSTRADOR</v>
          </cell>
          <cell r="E74">
            <v>1</v>
          </cell>
          <cell r="G74">
            <v>1123867439</v>
          </cell>
          <cell r="H74" t="str">
            <v>contado</v>
          </cell>
          <cell r="I74" t="str">
            <v>diario</v>
          </cell>
          <cell r="J74" t="str">
            <v>mp</v>
          </cell>
          <cell r="M74" t="str">
            <v>RETIRA</v>
          </cell>
        </row>
        <row r="75">
          <cell r="A75" t="str">
            <v>076</v>
          </cell>
        </row>
        <row r="76">
          <cell r="A76" t="str">
            <v>077</v>
          </cell>
          <cell r="B76" t="str">
            <v>ITALIA</v>
          </cell>
          <cell r="C76">
            <v>6</v>
          </cell>
          <cell r="D76" t="str">
            <v>ITALIA ESQUINA MITRE</v>
          </cell>
          <cell r="M76" t="str">
            <v>10/11hs</v>
          </cell>
        </row>
        <row r="77">
          <cell r="A77" t="str">
            <v>078</v>
          </cell>
        </row>
        <row r="78">
          <cell r="A78" t="str">
            <v>78</v>
          </cell>
        </row>
        <row r="79">
          <cell r="A79" t="str">
            <v>079</v>
          </cell>
        </row>
        <row r="80">
          <cell r="A80" t="str">
            <v>081</v>
          </cell>
        </row>
        <row r="81">
          <cell r="A81" t="str">
            <v>082</v>
          </cell>
        </row>
        <row r="82">
          <cell r="A82" t="str">
            <v>084</v>
          </cell>
          <cell r="B82" t="str">
            <v>PAPELAS</v>
          </cell>
          <cell r="C82">
            <v>5</v>
          </cell>
          <cell r="D82" t="str">
            <v>Perón 2869</v>
          </cell>
        </row>
        <row r="83">
          <cell r="A83" t="str">
            <v>085</v>
          </cell>
          <cell r="B83" t="str">
            <v>MARI</v>
          </cell>
          <cell r="C83">
            <v>5</v>
          </cell>
          <cell r="D83" t="str">
            <v>SARGENTO CABRAL 2084 (ESQ ALBA)</v>
          </cell>
          <cell r="G83">
            <v>1123685958</v>
          </cell>
          <cell r="H83" t="str">
            <v>contado</v>
          </cell>
          <cell r="I83" t="str">
            <v>diario</v>
          </cell>
          <cell r="J83" t="str">
            <v>efectivo</v>
          </cell>
          <cell r="M83" t="str">
            <v>8AM</v>
          </cell>
        </row>
        <row r="84">
          <cell r="A84" t="str">
            <v>086</v>
          </cell>
        </row>
        <row r="85">
          <cell r="A85" t="str">
            <v>86</v>
          </cell>
        </row>
        <row r="86">
          <cell r="A86" t="str">
            <v>087</v>
          </cell>
        </row>
        <row r="87">
          <cell r="A87" t="str">
            <v>089</v>
          </cell>
        </row>
        <row r="88">
          <cell r="A88" t="str">
            <v>090</v>
          </cell>
        </row>
        <row r="89">
          <cell r="A89" t="str">
            <v>091</v>
          </cell>
          <cell r="B89" t="str">
            <v>Fariña</v>
          </cell>
          <cell r="C89">
            <v>5</v>
          </cell>
          <cell r="D89" t="str">
            <v>BARTOLOME MITRE 442, TIGRE</v>
          </cell>
          <cell r="G89">
            <v>1140316780</v>
          </cell>
          <cell r="H89" t="str">
            <v>contado</v>
          </cell>
          <cell r="I89" t="str">
            <v>diario</v>
          </cell>
          <cell r="J89" t="str">
            <v>efectivo</v>
          </cell>
          <cell r="M89" t="str">
            <v>11/12hs</v>
          </cell>
        </row>
        <row r="90">
          <cell r="A90" t="str">
            <v>092</v>
          </cell>
        </row>
        <row r="91">
          <cell r="A91" t="str">
            <v>093</v>
          </cell>
        </row>
        <row r="92">
          <cell r="A92" t="str">
            <v>094</v>
          </cell>
        </row>
        <row r="93">
          <cell r="A93" t="str">
            <v>095</v>
          </cell>
        </row>
        <row r="94">
          <cell r="A94" t="str">
            <v>096</v>
          </cell>
          <cell r="B94" t="str">
            <v>Javier Hostel</v>
          </cell>
          <cell r="C94">
            <v>5</v>
          </cell>
          <cell r="D94" t="str">
            <v>RETIRA MOSTRADOR</v>
          </cell>
          <cell r="G94" t="str">
            <v>112640-4169</v>
          </cell>
        </row>
        <row r="95">
          <cell r="A95" t="str">
            <v>097</v>
          </cell>
        </row>
        <row r="96">
          <cell r="A96" t="str">
            <v>098</v>
          </cell>
        </row>
        <row r="97">
          <cell r="A97" t="str">
            <v>099</v>
          </cell>
        </row>
        <row r="98">
          <cell r="A98" t="str">
            <v>100</v>
          </cell>
        </row>
        <row r="99">
          <cell r="A99" t="str">
            <v>101</v>
          </cell>
        </row>
        <row r="100">
          <cell r="A100" t="str">
            <v>102</v>
          </cell>
        </row>
        <row r="101">
          <cell r="A101" t="str">
            <v>103</v>
          </cell>
          <cell r="B101" t="str">
            <v>BERLINA - MATIAS</v>
          </cell>
          <cell r="C101">
            <v>5</v>
          </cell>
          <cell r="D101" t="str">
            <v>RETIRA</v>
          </cell>
          <cell r="G101" t="str">
            <v>+54 9 11 3013-6288</v>
          </cell>
          <cell r="I101" t="str">
            <v>diario</v>
          </cell>
        </row>
        <row r="102">
          <cell r="A102" t="str">
            <v>104</v>
          </cell>
        </row>
        <row r="103">
          <cell r="A103" t="str">
            <v>104</v>
          </cell>
        </row>
        <row r="104">
          <cell r="A104" t="str">
            <v>105</v>
          </cell>
        </row>
        <row r="105">
          <cell r="A105" t="str">
            <v>107</v>
          </cell>
          <cell r="B105" t="str">
            <v>KHOFI CAFETERIA</v>
          </cell>
          <cell r="C105">
            <v>5</v>
          </cell>
          <cell r="D105" t="str">
            <v>BRASIL 75, GALERIA PALMERA</v>
          </cell>
          <cell r="G105">
            <v>1122514865</v>
          </cell>
          <cell r="H105" t="str">
            <v>contado</v>
          </cell>
          <cell r="I105" t="str">
            <v>diario</v>
          </cell>
          <cell r="J105" t="str">
            <v>mp</v>
          </cell>
          <cell r="M105" t="str">
            <v>9/11hs</v>
          </cell>
        </row>
        <row r="106">
          <cell r="A106" t="str">
            <v>108</v>
          </cell>
          <cell r="B106" t="str">
            <v>KANOO - RESTO</v>
          </cell>
          <cell r="C106">
            <v>5</v>
          </cell>
          <cell r="D106" t="str">
            <v>RETIRAN</v>
          </cell>
          <cell r="G106">
            <v>1151617678</v>
          </cell>
        </row>
        <row r="107">
          <cell r="A107" t="str">
            <v>109</v>
          </cell>
          <cell r="B107" t="str">
            <v>Lo de Coqui</v>
          </cell>
          <cell r="C107">
            <v>5</v>
          </cell>
          <cell r="D107" t="str">
            <v>Constitucion 82</v>
          </cell>
          <cell r="G107" t="str">
            <v xml:space="preserve"> 11 4991-6274</v>
          </cell>
          <cell r="H107" t="str">
            <v>contado</v>
          </cell>
          <cell r="I107" t="str">
            <v>diario</v>
          </cell>
          <cell r="J107" t="str">
            <v>efectivo</v>
          </cell>
          <cell r="M107" t="str">
            <v>10/11hs</v>
          </cell>
        </row>
        <row r="108">
          <cell r="A108" t="str">
            <v>110</v>
          </cell>
        </row>
        <row r="109">
          <cell r="A109" t="str">
            <v>111</v>
          </cell>
        </row>
        <row r="110">
          <cell r="A110" t="str">
            <v>112</v>
          </cell>
        </row>
        <row r="111">
          <cell r="A111" t="str">
            <v>113</v>
          </cell>
          <cell r="B111" t="str">
            <v>CASA ALBARDON (GUARDERIA)</v>
          </cell>
          <cell r="C111">
            <v>5</v>
          </cell>
          <cell r="D111" t="str">
            <v>LUIS PEREYRA 2, TIGRE</v>
          </cell>
          <cell r="G111">
            <v>1162628432</v>
          </cell>
          <cell r="H111" t="str">
            <v>cc</v>
          </cell>
          <cell r="I111" t="str">
            <v>semanal</v>
          </cell>
          <cell r="J111" t="str">
            <v>efectivo</v>
          </cell>
        </row>
        <row r="112">
          <cell r="A112" t="str">
            <v>114</v>
          </cell>
          <cell r="B112" t="str">
            <v xml:space="preserve">EL JEFE ROTISERIA </v>
          </cell>
          <cell r="C112">
            <v>5</v>
          </cell>
          <cell r="D112" t="str">
            <v>Constitución 2342, 4 piso A, 1 módulo</v>
          </cell>
          <cell r="G112">
            <v>1125370918</v>
          </cell>
          <cell r="I112" t="str">
            <v>12HS ABRE</v>
          </cell>
          <cell r="M112" t="str">
            <v>10/11hs</v>
          </cell>
        </row>
        <row r="113">
          <cell r="A113" t="str">
            <v>115</v>
          </cell>
          <cell r="B113" t="str">
            <v>PUMA</v>
          </cell>
          <cell r="C113">
            <v>5</v>
          </cell>
          <cell r="D113" t="str">
            <v>Av cazón 585</v>
          </cell>
          <cell r="G113">
            <v>1154544151</v>
          </cell>
          <cell r="H113" t="str">
            <v>cc</v>
          </cell>
          <cell r="I113" t="str">
            <v>semanal</v>
          </cell>
          <cell r="J113" t="str">
            <v>trasfiere</v>
          </cell>
        </row>
        <row r="114">
          <cell r="A114" t="str">
            <v>116</v>
          </cell>
          <cell r="B114" t="str">
            <v>GASTON CARMONA</v>
          </cell>
          <cell r="C114">
            <v>5</v>
          </cell>
          <cell r="D114" t="str">
            <v>RETIRA MOSTRADOR</v>
          </cell>
        </row>
        <row r="115">
          <cell r="A115" t="str">
            <v>117</v>
          </cell>
        </row>
        <row r="116">
          <cell r="A116" t="str">
            <v>118</v>
          </cell>
        </row>
        <row r="117">
          <cell r="A117" t="str">
            <v>119</v>
          </cell>
          <cell r="B117" t="str">
            <v>MAREMMA</v>
          </cell>
          <cell r="C117">
            <v>5</v>
          </cell>
          <cell r="D117" t="str">
            <v>ITALIA 1602</v>
          </cell>
          <cell r="G117" t="str">
            <v xml:space="preserve"> 11 4991-6274</v>
          </cell>
          <cell r="H117" t="str">
            <v>contado</v>
          </cell>
          <cell r="I117" t="str">
            <v>diario</v>
          </cell>
          <cell r="J117" t="str">
            <v>efectivo</v>
          </cell>
          <cell r="M117" t="str">
            <v>11/12hs</v>
          </cell>
        </row>
        <row r="118">
          <cell r="A118" t="str">
            <v>120</v>
          </cell>
          <cell r="B118" t="str">
            <v>STURLA</v>
          </cell>
          <cell r="C118">
            <v>5</v>
          </cell>
        </row>
        <row r="119">
          <cell r="A119" t="str">
            <v>121</v>
          </cell>
          <cell r="B119" t="str">
            <v>PABLO CATERING</v>
          </cell>
          <cell r="C119">
            <v>5</v>
          </cell>
          <cell r="D119" t="str">
            <v>REITA POR EL GALPON</v>
          </cell>
        </row>
        <row r="120">
          <cell r="A120" t="str">
            <v>122</v>
          </cell>
          <cell r="B120" t="str">
            <v>ROMINA</v>
          </cell>
          <cell r="C120">
            <v>5</v>
          </cell>
          <cell r="D120" t="str">
            <v>Solis 1261</v>
          </cell>
          <cell r="G120" t="str">
            <v>11 6262-6637</v>
          </cell>
          <cell r="H120" t="str">
            <v>contado</v>
          </cell>
          <cell r="I120" t="str">
            <v>diario</v>
          </cell>
          <cell r="J120" t="str">
            <v>efectivo</v>
          </cell>
          <cell r="M120" t="str">
            <v>8/9hs</v>
          </cell>
        </row>
        <row r="121">
          <cell r="A121" t="str">
            <v>123</v>
          </cell>
          <cell r="B121" t="str">
            <v>ELENA - PANADERIA EL TANO</v>
          </cell>
          <cell r="C121">
            <v>5</v>
          </cell>
          <cell r="D121" t="str">
            <v>Carlos Gardel 157</v>
          </cell>
          <cell r="G121" t="str">
            <v>11 6542-2574</v>
          </cell>
          <cell r="M121" t="str">
            <v>RETIRA 7hs</v>
          </cell>
        </row>
        <row r="122">
          <cell r="A122" t="str">
            <v>124</v>
          </cell>
          <cell r="B122" t="str">
            <v>MILANESIO</v>
          </cell>
          <cell r="C122">
            <v>5</v>
          </cell>
          <cell r="D122" t="str">
            <v>ESPAÑA 289 ESQ BERUTI</v>
          </cell>
          <cell r="G122" t="str">
            <v>11-5340-6502</v>
          </cell>
          <cell r="M122" t="str">
            <v>8/10 AM</v>
          </cell>
        </row>
        <row r="123">
          <cell r="A123" t="str">
            <v>125</v>
          </cell>
          <cell r="B123" t="str">
            <v>ROCHA</v>
          </cell>
          <cell r="C123">
            <v>6</v>
          </cell>
          <cell r="D123" t="str">
            <v>Av Rocha 1461</v>
          </cell>
          <cell r="M123" t="str">
            <v>11/12hs</v>
          </cell>
        </row>
        <row r="124">
          <cell r="A124" t="str">
            <v>126</v>
          </cell>
        </row>
        <row r="125">
          <cell r="A125" t="str">
            <v>127</v>
          </cell>
        </row>
        <row r="126">
          <cell r="A126" t="str">
            <v>128</v>
          </cell>
        </row>
        <row r="127">
          <cell r="A127" t="str">
            <v>129</v>
          </cell>
          <cell r="B127" t="str">
            <v>CHINO  (El Jefe)</v>
          </cell>
          <cell r="C127">
            <v>5</v>
          </cell>
          <cell r="G127" t="str">
            <v>11 2730-3056</v>
          </cell>
          <cell r="H127" t="str">
            <v>contado</v>
          </cell>
          <cell r="I127" t="str">
            <v>diario</v>
          </cell>
          <cell r="J127" t="str">
            <v>efectivo</v>
          </cell>
        </row>
        <row r="128">
          <cell r="A128" t="str">
            <v>130</v>
          </cell>
        </row>
        <row r="129">
          <cell r="A129" t="str">
            <v>131</v>
          </cell>
          <cell r="B129" t="str">
            <v>TIENDA PAN RINCON</v>
          </cell>
          <cell r="C129">
            <v>6</v>
          </cell>
          <cell r="D129" t="str">
            <v>JOSE C PAZ Y 9 DE JULIO</v>
          </cell>
          <cell r="M129">
            <v>0.27083333333333331</v>
          </cell>
        </row>
        <row r="130">
          <cell r="A130" t="str">
            <v>132</v>
          </cell>
          <cell r="B130" t="str">
            <v>HACOAJ CATERING</v>
          </cell>
          <cell r="C130">
            <v>5</v>
          </cell>
          <cell r="D130" t="str">
            <v xml:space="preserve">BOYERO AL FONDO </v>
          </cell>
          <cell r="G130">
            <v>1157450336</v>
          </cell>
          <cell r="I130" t="str">
            <v>ABONA</v>
          </cell>
          <cell r="M130" t="str">
            <v>8/8:30</v>
          </cell>
        </row>
        <row r="131">
          <cell r="A131" t="str">
            <v>133</v>
          </cell>
        </row>
        <row r="132">
          <cell r="A132" t="str">
            <v>134</v>
          </cell>
          <cell r="B132" t="str">
            <v>JOAQUIN CHINO</v>
          </cell>
          <cell r="C132">
            <v>5</v>
          </cell>
          <cell r="D132" t="str">
            <v>3 DE FEBRERO 282 (FRENTE A LA FILATA)</v>
          </cell>
          <cell r="G132" t="str">
            <v>11 3131-9957</v>
          </cell>
          <cell r="H132" t="str">
            <v>cc</v>
          </cell>
          <cell r="I132" t="str">
            <v>semanal</v>
          </cell>
          <cell r="J132" t="str">
            <v>efectivo</v>
          </cell>
        </row>
        <row r="133">
          <cell r="A133" t="str">
            <v>135</v>
          </cell>
        </row>
        <row r="134">
          <cell r="A134" t="str">
            <v>136</v>
          </cell>
        </row>
        <row r="135">
          <cell r="A135" t="str">
            <v>137</v>
          </cell>
        </row>
        <row r="136">
          <cell r="A136" t="str">
            <v>138</v>
          </cell>
        </row>
        <row r="137">
          <cell r="A137" t="str">
            <v>139</v>
          </cell>
          <cell r="B137" t="str">
            <v>TIGRE MARKET 2</v>
          </cell>
          <cell r="C137">
            <v>5</v>
          </cell>
          <cell r="D137" t="str">
            <v>ROCHA 786</v>
          </cell>
          <cell r="G137" t="str">
            <v>11 4146-6666</v>
          </cell>
          <cell r="H137" t="str">
            <v>cc</v>
          </cell>
          <cell r="I137" t="str">
            <v>semanal</v>
          </cell>
          <cell r="J137" t="str">
            <v>trasfiere</v>
          </cell>
        </row>
        <row r="138">
          <cell r="A138" t="str">
            <v>140</v>
          </cell>
          <cell r="B138" t="str">
            <v>BIG ROGER</v>
          </cell>
          <cell r="C138">
            <v>5</v>
          </cell>
          <cell r="D138" t="str">
            <v>PUERTO DE FRUTOS</v>
          </cell>
          <cell r="G138">
            <v>1163973967</v>
          </cell>
          <cell r="H138" t="str">
            <v>cc</v>
          </cell>
          <cell r="I138" t="str">
            <v>semanal</v>
          </cell>
          <cell r="J138" t="str">
            <v>trasfiere</v>
          </cell>
          <cell r="M138" t="str">
            <v>10hs</v>
          </cell>
        </row>
        <row r="139">
          <cell r="A139" t="str">
            <v>141</v>
          </cell>
          <cell r="B139" t="str">
            <v>CANELA</v>
          </cell>
          <cell r="C139">
            <v>5</v>
          </cell>
          <cell r="D139" t="str">
            <v>SALDIAS 737</v>
          </cell>
          <cell r="G139" t="str">
            <v>11-5762-8929</v>
          </cell>
        </row>
        <row r="140">
          <cell r="A140" t="str">
            <v>142</v>
          </cell>
        </row>
        <row r="141">
          <cell r="A141" t="str">
            <v>143</v>
          </cell>
          <cell r="B141" t="str">
            <v>Chino Mitre</v>
          </cell>
          <cell r="C141">
            <v>5</v>
          </cell>
          <cell r="D141" t="str">
            <v>Emilio Mitre 450 SF</v>
          </cell>
          <cell r="G141">
            <v>1137945055</v>
          </cell>
          <cell r="M141" t="str">
            <v>8AM</v>
          </cell>
        </row>
        <row r="142">
          <cell r="A142" t="str">
            <v>144</v>
          </cell>
          <cell r="B142" t="str">
            <v>EL VIEJO ALMACEN - NATALIA</v>
          </cell>
          <cell r="C142">
            <v>5</v>
          </cell>
          <cell r="D142" t="str">
            <v>GARIBALDI 1591 - RINCON</v>
          </cell>
          <cell r="F142" t="str">
            <v xml:space="preserve">RETIRA POR ROCHA </v>
          </cell>
          <cell r="G142">
            <v>1153777080</v>
          </cell>
          <cell r="I142" t="str">
            <v>EFECTIVO</v>
          </cell>
          <cell r="M142" t="str">
            <v>7:30AM</v>
          </cell>
        </row>
        <row r="143">
          <cell r="A143" t="str">
            <v>145</v>
          </cell>
        </row>
        <row r="144">
          <cell r="A144" t="str">
            <v>146</v>
          </cell>
          <cell r="B144" t="str">
            <v>Suma Activa</v>
          </cell>
          <cell r="C144">
            <v>5</v>
          </cell>
          <cell r="D144" t="str">
            <v>Pedro Guareschi 22</v>
          </cell>
          <cell r="G144" t="str">
            <v>11 6478-3118</v>
          </cell>
          <cell r="H144" t="str">
            <v>contado</v>
          </cell>
          <cell r="I144" t="str">
            <v>diario</v>
          </cell>
          <cell r="J144" t="str">
            <v>efectivo</v>
          </cell>
        </row>
        <row r="145">
          <cell r="A145" t="str">
            <v>147</v>
          </cell>
          <cell r="B145" t="str">
            <v>Timbo Delta</v>
          </cell>
          <cell r="C145">
            <v>5</v>
          </cell>
          <cell r="D145" t="str">
            <v>LLEVARA A ITALIA 7 AM</v>
          </cell>
          <cell r="G145" t="str">
            <v>11 4199-9352</v>
          </cell>
          <cell r="H145" t="str">
            <v>contado</v>
          </cell>
          <cell r="I145" t="str">
            <v>diario</v>
          </cell>
          <cell r="J145" t="str">
            <v>trasfiere</v>
          </cell>
        </row>
        <row r="146">
          <cell r="A146" t="str">
            <v>148</v>
          </cell>
          <cell r="B146" t="str">
            <v>Parrilla cloe</v>
          </cell>
          <cell r="C146">
            <v>5</v>
          </cell>
          <cell r="D146" t="str">
            <v>Sarmiento 130</v>
          </cell>
          <cell r="G146" t="str">
            <v>11 6478-3118</v>
          </cell>
          <cell r="H146" t="str">
            <v>contado</v>
          </cell>
          <cell r="I146" t="str">
            <v>diario</v>
          </cell>
          <cell r="J146" t="str">
            <v xml:space="preserve">efectivo </v>
          </cell>
        </row>
        <row r="147">
          <cell r="A147" t="str">
            <v>149</v>
          </cell>
        </row>
        <row r="148">
          <cell r="A148" t="str">
            <v>150</v>
          </cell>
          <cell r="B148" t="str">
            <v xml:space="preserve">SANTIAGO CAFETERIA </v>
          </cell>
          <cell r="C148">
            <v>5</v>
          </cell>
          <cell r="D148" t="str">
            <v>RETIRA GALPON</v>
          </cell>
          <cell r="F148" t="str">
            <v>RETIRA GALPON</v>
          </cell>
        </row>
        <row r="149">
          <cell r="A149" t="str">
            <v>151</v>
          </cell>
          <cell r="B149" t="str">
            <v>TOTO ROSALES</v>
          </cell>
          <cell r="C149">
            <v>5</v>
          </cell>
          <cell r="D149" t="str">
            <v>REITRA POR ROCHA</v>
          </cell>
          <cell r="F149" t="str">
            <v>REITRA POR ROCHA</v>
          </cell>
          <cell r="G149">
            <v>1130054989</v>
          </cell>
          <cell r="I149" t="str">
            <v>CC</v>
          </cell>
          <cell r="J149" t="str">
            <v>EFECT</v>
          </cell>
          <cell r="K149" t="str">
            <v>SI, SUMARLE 21%</v>
          </cell>
        </row>
        <row r="150">
          <cell r="A150" t="str">
            <v>152</v>
          </cell>
          <cell r="B150" t="str">
            <v>ISLA CENTENARIO</v>
          </cell>
          <cell r="C150">
            <v>5</v>
          </cell>
          <cell r="D150" t="str">
            <v>AMARRA PUBLICA HUGO CARRIL</v>
          </cell>
          <cell r="G150">
            <v>1169911322</v>
          </cell>
          <cell r="I150" t="str">
            <v>ABONA</v>
          </cell>
          <cell r="J150" t="str">
            <v>EEECT</v>
          </cell>
        </row>
        <row r="151">
          <cell r="A151" t="str">
            <v>153</v>
          </cell>
          <cell r="B151" t="str">
            <v>Brazzi Escuelas</v>
          </cell>
          <cell r="C151">
            <v>7</v>
          </cell>
          <cell r="D151" t="str">
            <v>ITUZAINGO 1876, SAN FERNANDO</v>
          </cell>
          <cell r="E151">
            <v>17</v>
          </cell>
          <cell r="F151" t="str">
            <v>Envio saldo los Lunes temprano</v>
          </cell>
          <cell r="G151" t="str">
            <v>1169021207 Pablo</v>
          </cell>
          <cell r="H151" t="str">
            <v>CC</v>
          </cell>
          <cell r="I151" t="str">
            <v>Semanal</v>
          </cell>
          <cell r="J151" t="str">
            <v>Transferencia</v>
          </cell>
          <cell r="K151" t="str">
            <v>Semanal</v>
          </cell>
          <cell r="L151" t="str">
            <v>A</v>
          </cell>
        </row>
        <row r="152">
          <cell r="A152" t="str">
            <v>154</v>
          </cell>
          <cell r="B152" t="str">
            <v xml:space="preserve">LA AMISTAD </v>
          </cell>
          <cell r="C152">
            <v>5</v>
          </cell>
          <cell r="D152" t="str">
            <v>GUEMES 3119, ESQ IRALA</v>
          </cell>
          <cell r="G152" t="str">
            <v>11-5796-7954</v>
          </cell>
          <cell r="I152" t="str">
            <v>ABONA</v>
          </cell>
          <cell r="M152" t="str">
            <v>8/9HS</v>
          </cell>
        </row>
        <row r="153">
          <cell r="A153" t="str">
            <v>155</v>
          </cell>
          <cell r="B153" t="str">
            <v>LILIANA BEATRIZ</v>
          </cell>
          <cell r="C153">
            <v>5</v>
          </cell>
          <cell r="D153" t="str">
            <v>MONTES DE OCA 464</v>
          </cell>
          <cell r="G153" t="str">
            <v>11-3490-6493</v>
          </cell>
          <cell r="H153" t="str">
            <v>CC</v>
          </cell>
          <cell r="I153" t="str">
            <v>SEMANAL</v>
          </cell>
          <cell r="J153" t="str">
            <v>TRANSFERENCIA</v>
          </cell>
          <cell r="K153" t="str">
            <v>FACTURA A 27-12141725-7</v>
          </cell>
          <cell r="M153" t="str">
            <v>8HS</v>
          </cell>
        </row>
        <row r="154">
          <cell r="A154" t="str">
            <v>156</v>
          </cell>
          <cell r="B154" t="str">
            <v>DAMIAN CIRO</v>
          </cell>
          <cell r="C154">
            <v>5</v>
          </cell>
          <cell r="D154" t="str">
            <v>URUGUAY 771, TIGRE</v>
          </cell>
          <cell r="G154" t="str">
            <v>11-6460-4355</v>
          </cell>
          <cell r="H154" t="str">
            <v>CC</v>
          </cell>
          <cell r="I154" t="str">
            <v>SEMANAL</v>
          </cell>
        </row>
        <row r="155">
          <cell r="A155" t="str">
            <v>157</v>
          </cell>
          <cell r="B155" t="str">
            <v>POMPEYA PUERTO</v>
          </cell>
          <cell r="C155">
            <v>5</v>
          </cell>
          <cell r="D155" t="str">
            <v>SARMIENTO 160, LOCAL 172</v>
          </cell>
          <cell r="G155" t="str">
            <v>11-6336-2559</v>
          </cell>
          <cell r="H155" t="str">
            <v>CC</v>
          </cell>
          <cell r="I155" t="str">
            <v>SEMANAL</v>
          </cell>
          <cell r="M155" t="str">
            <v>9/10HS</v>
          </cell>
        </row>
        <row r="156">
          <cell r="A156" t="str">
            <v>158</v>
          </cell>
          <cell r="B156" t="str">
            <v>Tres Estrellas FIMB</v>
          </cell>
          <cell r="C156">
            <v>5</v>
          </cell>
          <cell r="D156" t="str">
            <v xml:space="preserve"> Fernando Fader 131, Troncos</v>
          </cell>
          <cell r="F156" t="str">
            <v>ENVIO</v>
          </cell>
          <cell r="G156" t="str">
            <v>11-3237-5809 FACU</v>
          </cell>
          <cell r="H156" t="str">
            <v>CC</v>
          </cell>
          <cell r="I156" t="str">
            <v>SEMANAL</v>
          </cell>
          <cell r="J156" t="str">
            <v>EFECTIVO</v>
          </cell>
          <cell r="M156" t="str">
            <v>7 HS</v>
          </cell>
        </row>
        <row r="157">
          <cell r="A157" t="str">
            <v>159</v>
          </cell>
          <cell r="B157" t="str">
            <v>DON NAZARENO</v>
          </cell>
          <cell r="C157">
            <v>5</v>
          </cell>
          <cell r="G157" t="str">
            <v>11 3626-4902</v>
          </cell>
          <cell r="H157" t="str">
            <v>cc</v>
          </cell>
          <cell r="I157" t="str">
            <v>semanal</v>
          </cell>
          <cell r="J157" t="str">
            <v>trasfiere/efec</v>
          </cell>
          <cell r="M157" t="str">
            <v>10/12hs</v>
          </cell>
        </row>
        <row r="158">
          <cell r="A158" t="str">
            <v>160</v>
          </cell>
          <cell r="B158" t="str">
            <v>LA ENTRADA DEL PUERTO</v>
          </cell>
          <cell r="C158">
            <v>5</v>
          </cell>
          <cell r="D158" t="str">
            <v>Pedro guareschi 129</v>
          </cell>
          <cell r="F158" t="str">
            <v>ENVIO</v>
          </cell>
          <cell r="G158" t="str">
            <v>1125934825 NATALIA</v>
          </cell>
          <cell r="J158" t="str">
            <v>EFECTIVO</v>
          </cell>
          <cell r="M158" t="str">
            <v>9:30/10</v>
          </cell>
        </row>
        <row r="159">
          <cell r="A159" t="str">
            <v>161</v>
          </cell>
          <cell r="B159" t="str">
            <v>TIGRE RUGBY CLUB</v>
          </cell>
          <cell r="C159">
            <v>5</v>
          </cell>
          <cell r="D159" t="str">
            <v>BENITO LYNCH 1060</v>
          </cell>
          <cell r="G159" t="str">
            <v>11 6872-3240</v>
          </cell>
          <cell r="H159" t="str">
            <v>contado</v>
          </cell>
          <cell r="I159" t="str">
            <v>diario</v>
          </cell>
          <cell r="J159" t="str">
            <v>efectivo</v>
          </cell>
        </row>
        <row r="160">
          <cell r="A160" t="str">
            <v>162</v>
          </cell>
          <cell r="B160" t="str">
            <v>CHINO LINIERS</v>
          </cell>
          <cell r="C160">
            <v>5</v>
          </cell>
          <cell r="D160" t="str">
            <v>AV LINIERS 678</v>
          </cell>
          <cell r="F160" t="str">
            <v>ENVIO</v>
          </cell>
          <cell r="G160">
            <v>1135857106</v>
          </cell>
          <cell r="H160" t="str">
            <v>CC</v>
          </cell>
          <cell r="I160" t="str">
            <v>SEMANAL</v>
          </cell>
          <cell r="M160" t="str">
            <v>9/10 HS</v>
          </cell>
        </row>
        <row r="161">
          <cell r="A161" t="str">
            <v>163</v>
          </cell>
          <cell r="B161" t="str">
            <v>BODEGON EL CORCHO</v>
          </cell>
          <cell r="C161">
            <v>5</v>
          </cell>
          <cell r="D161" t="str">
            <v>R 27 Y ESQUINA PIROVANO</v>
          </cell>
          <cell r="F161" t="str">
            <v>ENVIO</v>
          </cell>
          <cell r="G161" t="str">
            <v>1165751736 FLOR</v>
          </cell>
          <cell r="H161" t="str">
            <v>CC</v>
          </cell>
          <cell r="I161" t="str">
            <v>SEMANAL</v>
          </cell>
          <cell r="M161" t="str">
            <v>10/11 HS</v>
          </cell>
        </row>
        <row r="162">
          <cell r="A162" t="str">
            <v>164</v>
          </cell>
          <cell r="B162" t="str">
            <v>PELUCHE</v>
          </cell>
          <cell r="C162">
            <v>5</v>
          </cell>
          <cell r="D162" t="str">
            <v>AV. LIBERTADOR 2626, VICTORIA</v>
          </cell>
          <cell r="F162" t="str">
            <v>ENVIO</v>
          </cell>
          <cell r="G162" t="str">
            <v>1167972525 RICKY</v>
          </cell>
          <cell r="H162" t="str">
            <v>PAGA</v>
          </cell>
        </row>
        <row r="163">
          <cell r="A163" t="str">
            <v>165</v>
          </cell>
          <cell r="B163" t="str">
            <v>JUSTO CAFÉ</v>
          </cell>
          <cell r="C163">
            <v>5</v>
          </cell>
          <cell r="D163" t="str">
            <v>ITUZAINGO 1170</v>
          </cell>
          <cell r="F163" t="str">
            <v>ENVIO</v>
          </cell>
          <cell r="G163" t="str">
            <v xml:space="preserve"> 11 5103-7181</v>
          </cell>
          <cell r="H163" t="str">
            <v>paga</v>
          </cell>
          <cell r="I163" t="str">
            <v>diario</v>
          </cell>
          <cell r="J163" t="str">
            <v>efectivo</v>
          </cell>
        </row>
        <row r="164">
          <cell r="A164" t="str">
            <v>166</v>
          </cell>
          <cell r="B164" t="str">
            <v>CAFETERIA BMW MOTOS</v>
          </cell>
          <cell r="C164">
            <v>5</v>
          </cell>
          <cell r="D164" t="str">
            <v>santa María 4711 local 1002</v>
          </cell>
          <cell r="G164">
            <v>1140796709</v>
          </cell>
          <cell r="H164" t="str">
            <v>PAGA</v>
          </cell>
          <cell r="K164" t="str">
            <v>godelco.s.a 30-71624643-0</v>
          </cell>
        </row>
        <row r="165">
          <cell r="A165" t="str">
            <v>167</v>
          </cell>
          <cell r="B165" t="str">
            <v>FIAMBRERIA MIMI</v>
          </cell>
          <cell r="C165">
            <v>5</v>
          </cell>
          <cell r="D165" t="str">
            <v>AV ITALIA 1395</v>
          </cell>
          <cell r="G165">
            <v>1130477784</v>
          </cell>
          <cell r="M165" t="str">
            <v>10 HS</v>
          </cell>
        </row>
        <row r="166">
          <cell r="A166" t="str">
            <v>168</v>
          </cell>
          <cell r="B166" t="str">
            <v>ROCHA CAZON</v>
          </cell>
          <cell r="C166">
            <v>6</v>
          </cell>
          <cell r="D166" t="str">
            <v>AV CAZON 1527</v>
          </cell>
          <cell r="F166" t="str">
            <v>ENVIO</v>
          </cell>
        </row>
        <row r="167">
          <cell r="A167" t="str">
            <v>169</v>
          </cell>
          <cell r="B167" t="str">
            <v>HELADERIA KALUA</v>
          </cell>
          <cell r="C167">
            <v>5</v>
          </cell>
          <cell r="D167" t="str">
            <v>JOSE MARIA PAZ 283 PACHECO</v>
          </cell>
        </row>
        <row r="168">
          <cell r="A168" t="str">
            <v>170</v>
          </cell>
          <cell r="B168" t="str">
            <v>PAN DE ANGEL 2</v>
          </cell>
          <cell r="C168">
            <v>5</v>
          </cell>
          <cell r="D168" t="str">
            <v>ALBARELLOS 138</v>
          </cell>
          <cell r="G168" t="str">
            <v>11-3874-1295</v>
          </cell>
        </row>
        <row r="169">
          <cell r="A169" t="str">
            <v>171</v>
          </cell>
          <cell r="B169" t="str">
            <v>JOAQUIN CATERING</v>
          </cell>
          <cell r="C169">
            <v>5</v>
          </cell>
          <cell r="D169" t="str">
            <v>SUCRE 3070</v>
          </cell>
          <cell r="G169" t="str">
            <v>11 4094-6774</v>
          </cell>
          <cell r="H169" t="str">
            <v>cc</v>
          </cell>
          <cell r="I169" t="str">
            <v>semanal</v>
          </cell>
          <cell r="J169" t="str">
            <v>trasfiere</v>
          </cell>
        </row>
        <row r="170">
          <cell r="A170" t="str">
            <v>172</v>
          </cell>
          <cell r="B170" t="str">
            <v>SEPTIEMBRE PANADERIA</v>
          </cell>
          <cell r="C170">
            <v>7</v>
          </cell>
          <cell r="D170" t="str">
            <v>AV. CONSTITUYENTES 870</v>
          </cell>
          <cell r="F170" t="str">
            <v>ENVIO</v>
          </cell>
          <cell r="G170" t="str">
            <v>11-5376-3346</v>
          </cell>
          <cell r="H170" t="str">
            <v>CC</v>
          </cell>
        </row>
        <row r="171">
          <cell r="A171" t="str">
            <v>173</v>
          </cell>
          <cell r="B171" t="str">
            <v>LAS PALMERAS-CHINO</v>
          </cell>
          <cell r="C171">
            <v>5</v>
          </cell>
          <cell r="D171" t="str">
            <v>LIBERTADOR 87 TIGRE</v>
          </cell>
          <cell r="F171" t="str">
            <v>ENVIO</v>
          </cell>
          <cell r="G171" t="str">
            <v>11 4094-6774</v>
          </cell>
          <cell r="H171" t="str">
            <v>PAGA</v>
          </cell>
          <cell r="I171" t="str">
            <v>diario</v>
          </cell>
          <cell r="J171" t="str">
            <v>efecivo</v>
          </cell>
          <cell r="M171" t="str">
            <v>9/11hs</v>
          </cell>
        </row>
        <row r="172">
          <cell r="A172" t="str">
            <v>174</v>
          </cell>
          <cell r="B172" t="str">
            <v>AGUSTINA SERVIA</v>
          </cell>
          <cell r="C172">
            <v>5</v>
          </cell>
          <cell r="D172" t="str">
            <v>DEJAR EN ROCHA</v>
          </cell>
          <cell r="G172" t="str">
            <v>11 7112-8457</v>
          </cell>
          <cell r="H172" t="str">
            <v>paga</v>
          </cell>
          <cell r="I172" t="str">
            <v>diario</v>
          </cell>
          <cell r="J172" t="str">
            <v>efectivo</v>
          </cell>
        </row>
        <row r="173">
          <cell r="A173" t="str">
            <v>200</v>
          </cell>
          <cell r="B173" t="str">
            <v>VILLA TERRA</v>
          </cell>
          <cell r="C173">
            <v>6</v>
          </cell>
        </row>
        <row r="174">
          <cell r="A174" t="str">
            <v>900</v>
          </cell>
          <cell r="B174" t="str">
            <v>Gaston</v>
          </cell>
          <cell r="C174">
            <v>5</v>
          </cell>
          <cell r="E174">
            <v>1</v>
          </cell>
        </row>
        <row r="175">
          <cell r="A175" t="str">
            <v>901</v>
          </cell>
          <cell r="B175" t="str">
            <v>Federico</v>
          </cell>
          <cell r="C175">
            <v>4</v>
          </cell>
          <cell r="E175">
            <v>0</v>
          </cell>
        </row>
        <row r="176">
          <cell r="A176" t="str">
            <v>902</v>
          </cell>
          <cell r="B176" t="str">
            <v>Alan</v>
          </cell>
          <cell r="C176">
            <v>4</v>
          </cell>
          <cell r="E176">
            <v>0</v>
          </cell>
        </row>
        <row r="177">
          <cell r="A177" t="str">
            <v>903</v>
          </cell>
          <cell r="B177" t="str">
            <v>Angel</v>
          </cell>
          <cell r="C177">
            <v>4</v>
          </cell>
          <cell r="E177">
            <v>0</v>
          </cell>
        </row>
        <row r="178">
          <cell r="A178" t="str">
            <v>904</v>
          </cell>
          <cell r="B178" t="str">
            <v>Gabriel Jerez</v>
          </cell>
          <cell r="C178">
            <v>4</v>
          </cell>
          <cell r="E178">
            <v>0</v>
          </cell>
        </row>
        <row r="179">
          <cell r="A179" t="str">
            <v>905</v>
          </cell>
          <cell r="B179" t="str">
            <v>Gabriel R</v>
          </cell>
          <cell r="C179">
            <v>4</v>
          </cell>
          <cell r="E179">
            <v>0</v>
          </cell>
        </row>
        <row r="180">
          <cell r="A180" t="str">
            <v>906</v>
          </cell>
          <cell r="B180" t="str">
            <v>Maxi</v>
          </cell>
          <cell r="C180">
            <v>4</v>
          </cell>
          <cell r="E180">
            <v>0</v>
          </cell>
        </row>
        <row r="181">
          <cell r="A181" t="str">
            <v>907</v>
          </cell>
          <cell r="B181" t="str">
            <v>Juan P</v>
          </cell>
          <cell r="C181">
            <v>4</v>
          </cell>
          <cell r="E181">
            <v>0</v>
          </cell>
        </row>
        <row r="182">
          <cell r="A182" t="str">
            <v>908</v>
          </cell>
          <cell r="B182" t="str">
            <v>Juan F</v>
          </cell>
          <cell r="C182">
            <v>4</v>
          </cell>
          <cell r="E182">
            <v>0</v>
          </cell>
        </row>
        <row r="183">
          <cell r="A183" t="str">
            <v>909</v>
          </cell>
          <cell r="B183" t="str">
            <v>Sergio</v>
          </cell>
          <cell r="C183">
            <v>4</v>
          </cell>
          <cell r="E183">
            <v>0</v>
          </cell>
        </row>
        <row r="184">
          <cell r="A184" t="str">
            <v>910</v>
          </cell>
          <cell r="B184" t="str">
            <v>Florencia</v>
          </cell>
          <cell r="C184">
            <v>4</v>
          </cell>
          <cell r="E184">
            <v>0</v>
          </cell>
        </row>
        <row r="185">
          <cell r="A185" t="str">
            <v>911</v>
          </cell>
          <cell r="B185" t="str">
            <v>Sebastian Soriano</v>
          </cell>
          <cell r="C185">
            <v>5</v>
          </cell>
          <cell r="E185">
            <v>1</v>
          </cell>
        </row>
        <row r="186">
          <cell r="A186" t="str">
            <v>912</v>
          </cell>
          <cell r="B186" t="str">
            <v>Agustin (Gusti)</v>
          </cell>
          <cell r="C186">
            <v>5</v>
          </cell>
          <cell r="E186">
            <v>1</v>
          </cell>
        </row>
        <row r="187">
          <cell r="A187" t="str">
            <v>913</v>
          </cell>
          <cell r="B187" t="str">
            <v>Agustina</v>
          </cell>
          <cell r="C187">
            <v>4</v>
          </cell>
          <cell r="E187">
            <v>0</v>
          </cell>
        </row>
        <row r="188">
          <cell r="A188" t="str">
            <v>914</v>
          </cell>
          <cell r="B188" t="str">
            <v>Alejandra</v>
          </cell>
          <cell r="C188">
            <v>4</v>
          </cell>
          <cell r="E188">
            <v>0</v>
          </cell>
        </row>
        <row r="189">
          <cell r="A189" t="str">
            <v>915</v>
          </cell>
          <cell r="B189" t="str">
            <v>Abril</v>
          </cell>
          <cell r="C189">
            <v>4</v>
          </cell>
          <cell r="E189">
            <v>0</v>
          </cell>
        </row>
        <row r="190">
          <cell r="A190" t="str">
            <v>916</v>
          </cell>
          <cell r="B190" t="str">
            <v>Lolo</v>
          </cell>
          <cell r="C190">
            <v>4</v>
          </cell>
          <cell r="E190">
            <v>0</v>
          </cell>
        </row>
        <row r="191">
          <cell r="A191" t="str">
            <v>917</v>
          </cell>
          <cell r="B191" t="str">
            <v xml:space="preserve">Facundo </v>
          </cell>
          <cell r="C191">
            <v>4</v>
          </cell>
          <cell r="E191">
            <v>0</v>
          </cell>
        </row>
        <row r="192">
          <cell r="A192" t="str">
            <v>918</v>
          </cell>
          <cell r="B192" t="str">
            <v>Ricardo</v>
          </cell>
          <cell r="C192">
            <v>4</v>
          </cell>
          <cell r="E192">
            <v>0</v>
          </cell>
        </row>
        <row r="193">
          <cell r="A193" t="str">
            <v>919</v>
          </cell>
          <cell r="B193" t="str">
            <v>Aron</v>
          </cell>
          <cell r="C193">
            <v>4</v>
          </cell>
          <cell r="E193">
            <v>0</v>
          </cell>
        </row>
        <row r="194">
          <cell r="A194" t="str">
            <v>920</v>
          </cell>
        </row>
        <row r="195">
          <cell r="A195" t="str">
            <v>921</v>
          </cell>
        </row>
        <row r="196">
          <cell r="A196" t="str">
            <v>922</v>
          </cell>
        </row>
        <row r="197">
          <cell r="A197" t="str">
            <v>923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es"/>
      <sheetName val="049"/>
      <sheetName val="049 ok"/>
      <sheetName val="050"/>
      <sheetName val="051"/>
      <sheetName val="054"/>
      <sheetName val="COFIGOS ITALIA"/>
      <sheetName val="Instructivo Facturador"/>
    </sheetNames>
    <sheetDataSet>
      <sheetData sheetId="0" refreshError="1">
        <row r="3">
          <cell r="A3" t="str">
            <v>001</v>
          </cell>
          <cell r="B3" t="str">
            <v>AMODIL</v>
          </cell>
          <cell r="C3">
            <v>6</v>
          </cell>
          <cell r="D3" t="str">
            <v>Intendente Neyer 1643; Beccar</v>
          </cell>
          <cell r="F3" t="str">
            <v>Envio Saldo los 1 eros por Mail</v>
          </cell>
          <cell r="G3" t="str">
            <v>rrhh@amodil.com     German</v>
          </cell>
          <cell r="H3" t="str">
            <v>CC</v>
          </cell>
          <cell r="I3" t="str">
            <v>Mensual</v>
          </cell>
          <cell r="J3" t="str">
            <v>Efectivo</v>
          </cell>
        </row>
        <row r="4">
          <cell r="A4" t="str">
            <v>002</v>
          </cell>
          <cell r="B4" t="str">
            <v>GOMERIA</v>
          </cell>
          <cell r="C4">
            <v>5</v>
          </cell>
          <cell r="D4" t="str">
            <v>Luis Garcia 1120; Tigre</v>
          </cell>
          <cell r="E4">
            <v>1</v>
          </cell>
          <cell r="F4" t="str">
            <v>Envio saldo los Lunes temprano</v>
          </cell>
          <cell r="G4" t="str">
            <v>1149865483 Alejandro</v>
          </cell>
          <cell r="H4" t="str">
            <v>CC</v>
          </cell>
          <cell r="I4" t="str">
            <v>Semanal</v>
          </cell>
          <cell r="J4" t="str">
            <v>MP/Efectivo/Cheque</v>
          </cell>
          <cell r="K4" t="str">
            <v>Semanal</v>
          </cell>
          <cell r="L4" t="str">
            <v>A</v>
          </cell>
        </row>
        <row r="5">
          <cell r="A5" t="str">
            <v>003</v>
          </cell>
          <cell r="B5" t="str">
            <v>MONICA TUYUTI</v>
          </cell>
          <cell r="C5">
            <v>5</v>
          </cell>
          <cell r="D5" t="str">
            <v>Tuyuti 780, Tigre, Rincon</v>
          </cell>
          <cell r="E5">
            <v>1</v>
          </cell>
          <cell r="G5" t="str">
            <v>11 5806-2475</v>
          </cell>
          <cell r="H5" t="str">
            <v>Contado</v>
          </cell>
          <cell r="I5" t="str">
            <v>Diario</v>
          </cell>
          <cell r="J5" t="str">
            <v>Efectivo</v>
          </cell>
        </row>
        <row r="6">
          <cell r="A6" t="str">
            <v>004</v>
          </cell>
          <cell r="B6" t="str">
            <v xml:space="preserve">V Y B </v>
          </cell>
          <cell r="C6">
            <v>5</v>
          </cell>
          <cell r="D6" t="str">
            <v>Tuyuti 231</v>
          </cell>
          <cell r="E6">
            <v>1</v>
          </cell>
          <cell r="G6" t="str">
            <v>11 6112-4865</v>
          </cell>
          <cell r="H6" t="str">
            <v>Contado</v>
          </cell>
          <cell r="I6" t="str">
            <v>Diario</v>
          </cell>
          <cell r="J6" t="str">
            <v>Efectivo</v>
          </cell>
        </row>
        <row r="7">
          <cell r="A7" t="str">
            <v>005</v>
          </cell>
          <cell r="B7" t="str">
            <v>EL TORO</v>
          </cell>
          <cell r="C7">
            <v>7</v>
          </cell>
          <cell r="D7" t="str">
            <v>Av Santa Maria y 9 de Julio; Tigre, Rincon</v>
          </cell>
          <cell r="E7">
            <v>3</v>
          </cell>
          <cell r="G7" t="str">
            <v>11 5879-1234</v>
          </cell>
          <cell r="H7" t="str">
            <v>Contado</v>
          </cell>
          <cell r="I7" t="str">
            <v>Diario</v>
          </cell>
          <cell r="J7" t="str">
            <v>Efectivo</v>
          </cell>
        </row>
        <row r="8">
          <cell r="A8" t="str">
            <v>006</v>
          </cell>
          <cell r="B8" t="str">
            <v>LOS ANTOJOS</v>
          </cell>
          <cell r="C8">
            <v>5</v>
          </cell>
          <cell r="D8" t="str">
            <v>Martin Rodriguez 323</v>
          </cell>
          <cell r="E8">
            <v>1</v>
          </cell>
          <cell r="F8" t="str">
            <v>Envio saldo los Lunes temprano</v>
          </cell>
          <cell r="G8" t="str">
            <v>11 3471-0455</v>
          </cell>
          <cell r="H8" t="str">
            <v>CC</v>
          </cell>
          <cell r="I8" t="str">
            <v>Semanal</v>
          </cell>
          <cell r="J8" t="str">
            <v>Efectivo</v>
          </cell>
        </row>
        <row r="9">
          <cell r="A9" t="str">
            <v>007</v>
          </cell>
          <cell r="B9" t="str">
            <v>EL TANO</v>
          </cell>
          <cell r="C9">
            <v>8</v>
          </cell>
          <cell r="D9" t="str">
            <v>Av Liniers 1699; Tigre</v>
          </cell>
          <cell r="E9">
            <v>4</v>
          </cell>
          <cell r="F9" t="str">
            <v>Envio Saldo a Matias 1 ero de mes</v>
          </cell>
          <cell r="G9" t="str">
            <v>Celu Pana</v>
          </cell>
          <cell r="H9" t="str">
            <v>CC</v>
          </cell>
          <cell r="I9" t="str">
            <v>Mensual</v>
          </cell>
          <cell r="J9" t="str">
            <v>Efectivo</v>
          </cell>
        </row>
        <row r="10">
          <cell r="A10" t="str">
            <v>008</v>
          </cell>
          <cell r="B10" t="str">
            <v>PAN DE VIDA</v>
          </cell>
          <cell r="C10">
            <v>9</v>
          </cell>
          <cell r="D10" t="str">
            <v>Martin Coronado 1490, Esquina Callao;  Tigre</v>
          </cell>
          <cell r="E10">
            <v>5</v>
          </cell>
          <cell r="G10" t="str">
            <v>1156336773 Carlos</v>
          </cell>
          <cell r="H10" t="str">
            <v>Contado</v>
          </cell>
          <cell r="I10" t="str">
            <v>Diario</v>
          </cell>
          <cell r="J10" t="str">
            <v>Efectivo</v>
          </cell>
        </row>
        <row r="11">
          <cell r="A11" t="str">
            <v>009</v>
          </cell>
          <cell r="B11" t="str">
            <v>ALICIA</v>
          </cell>
          <cell r="C11">
            <v>5</v>
          </cell>
          <cell r="D11" t="str">
            <v>Montevideo y Albarellos; Tigre</v>
          </cell>
          <cell r="E11">
            <v>1</v>
          </cell>
          <cell r="G11" t="str">
            <v>11 2317-0381</v>
          </cell>
          <cell r="H11" t="str">
            <v>Contado</v>
          </cell>
          <cell r="I11" t="str">
            <v>Diario</v>
          </cell>
          <cell r="J11" t="str">
            <v>Efectivo</v>
          </cell>
        </row>
        <row r="12">
          <cell r="A12" t="str">
            <v>010</v>
          </cell>
          <cell r="B12" t="str">
            <v>ALE FIAMBRE</v>
          </cell>
          <cell r="C12">
            <v>7</v>
          </cell>
          <cell r="D12" t="str">
            <v>Av Dardo Rocha 954; Tigre</v>
          </cell>
          <cell r="E12">
            <v>3</v>
          </cell>
          <cell r="G12" t="str">
            <v xml:space="preserve"> 11 6960-6565</v>
          </cell>
        </row>
        <row r="13">
          <cell r="A13" t="str">
            <v>011</v>
          </cell>
          <cell r="B13" t="str">
            <v>EL DETALLE</v>
          </cell>
          <cell r="C13">
            <v>5</v>
          </cell>
          <cell r="D13" t="str">
            <v xml:space="preserve">Don Orione y Pasteur; (Luis Pasteur 498) </v>
          </cell>
          <cell r="E13">
            <v>1</v>
          </cell>
          <cell r="G13" t="str">
            <v>11 5587-8557</v>
          </cell>
          <cell r="H13" t="str">
            <v>Contado</v>
          </cell>
          <cell r="I13" t="str">
            <v>Diario</v>
          </cell>
          <cell r="J13" t="str">
            <v>Efectivo</v>
          </cell>
        </row>
        <row r="14">
          <cell r="A14" t="str">
            <v>012</v>
          </cell>
          <cell r="B14" t="str">
            <v>ARROYO FELIPE</v>
          </cell>
          <cell r="C14">
            <v>5</v>
          </cell>
          <cell r="D14" t="str">
            <v>Estacion Fluvial; Tigre</v>
          </cell>
          <cell r="E14">
            <v>1</v>
          </cell>
          <cell r="F14" t="str">
            <v>Generalmente paga los Domingos sin que le pase la cuenta</v>
          </cell>
          <cell r="G14">
            <v>1165705202</v>
          </cell>
          <cell r="H14" t="str">
            <v>CC</v>
          </cell>
          <cell r="I14" t="str">
            <v>Semanal</v>
          </cell>
          <cell r="J14" t="str">
            <v>MP</v>
          </cell>
        </row>
        <row r="15">
          <cell r="A15" t="str">
            <v>013</v>
          </cell>
          <cell r="B15" t="str">
            <v>VANINA</v>
          </cell>
          <cell r="C15">
            <v>5</v>
          </cell>
          <cell r="D15" t="str">
            <v>Italia 885; Tigre</v>
          </cell>
          <cell r="E15">
            <v>1</v>
          </cell>
          <cell r="G15" t="str">
            <v>11 5493-7922</v>
          </cell>
        </row>
        <row r="16">
          <cell r="A16" t="str">
            <v>014</v>
          </cell>
          <cell r="B16" t="str">
            <v>VIVANCO</v>
          </cell>
          <cell r="C16">
            <v>10</v>
          </cell>
          <cell r="D16" t="str">
            <v>Bartolome Mitre 74; Tigre</v>
          </cell>
          <cell r="F16" t="str">
            <v>Envio saldo los Lunes temprano</v>
          </cell>
          <cell r="G16" t="str">
            <v>1155123719 Federico</v>
          </cell>
          <cell r="H16" t="str">
            <v>CC</v>
          </cell>
          <cell r="I16" t="str">
            <v>Cheque</v>
          </cell>
          <cell r="J16" t="str">
            <v>Semanal</v>
          </cell>
          <cell r="L16" t="str">
            <v>A</v>
          </cell>
        </row>
        <row r="17">
          <cell r="A17" t="str">
            <v>015</v>
          </cell>
          <cell r="B17" t="str">
            <v>KIOSKO CARLITOS</v>
          </cell>
          <cell r="C17">
            <v>5</v>
          </cell>
          <cell r="E17">
            <v>1</v>
          </cell>
        </row>
        <row r="18">
          <cell r="A18" t="str">
            <v>016</v>
          </cell>
          <cell r="B18" t="str">
            <v>LO DE BISSIO</v>
          </cell>
          <cell r="C18">
            <v>11</v>
          </cell>
          <cell r="D18" t="str">
            <v>Av Cazon 1487; Tigre</v>
          </cell>
          <cell r="E18">
            <v>7</v>
          </cell>
          <cell r="G18" t="str">
            <v>Celu Pana</v>
          </cell>
          <cell r="H18" t="str">
            <v>Contado</v>
          </cell>
          <cell r="I18" t="str">
            <v>Diario</v>
          </cell>
          <cell r="J18" t="str">
            <v>Efectivo</v>
          </cell>
        </row>
        <row r="19">
          <cell r="A19" t="str">
            <v>017</v>
          </cell>
          <cell r="B19" t="str">
            <v>TIGRE MARKET</v>
          </cell>
          <cell r="C19">
            <v>12</v>
          </cell>
          <cell r="D19" t="str">
            <v>Castelli 176; Tigre</v>
          </cell>
          <cell r="E19">
            <v>8</v>
          </cell>
          <cell r="F19" t="str">
            <v>Envio el saldo 1 ero de mes</v>
          </cell>
          <cell r="G19" t="str">
            <v>1133639999 Coco</v>
          </cell>
          <cell r="H19" t="str">
            <v>CC</v>
          </cell>
          <cell r="I19" t="str">
            <v>Mensual</v>
          </cell>
          <cell r="J19" t="str">
            <v>Efectivo</v>
          </cell>
        </row>
        <row r="20">
          <cell r="A20" t="str">
            <v>018</v>
          </cell>
          <cell r="B20" t="str">
            <v>EL BODEGON</v>
          </cell>
          <cell r="C20">
            <v>5</v>
          </cell>
          <cell r="D20" t="str">
            <v>Italia 1398; Tigre</v>
          </cell>
          <cell r="E20">
            <v>1</v>
          </cell>
          <cell r="G20" t="str">
            <v>1160188678 Maria</v>
          </cell>
          <cell r="H20" t="str">
            <v>Contado</v>
          </cell>
          <cell r="I20" t="str">
            <v>Diario</v>
          </cell>
          <cell r="J20" t="str">
            <v>Efectivo</v>
          </cell>
        </row>
        <row r="21">
          <cell r="A21" t="str">
            <v>019</v>
          </cell>
          <cell r="B21" t="str">
            <v>SABORES DUT</v>
          </cell>
          <cell r="C21">
            <v>13</v>
          </cell>
          <cell r="D21" t="str">
            <v>Remeros Dut Manzana 6 Local 8; Tigre, Rincon</v>
          </cell>
          <cell r="E21">
            <v>9</v>
          </cell>
          <cell r="G21" t="str">
            <v>11 3334-4579</v>
          </cell>
          <cell r="H21" t="str">
            <v>Contado</v>
          </cell>
          <cell r="I21" t="str">
            <v>Diario</v>
          </cell>
          <cell r="J21" t="str">
            <v>Efectivo</v>
          </cell>
        </row>
        <row r="22">
          <cell r="A22" t="str">
            <v>020</v>
          </cell>
          <cell r="B22" t="str">
            <v>GRACIELA BILOCH</v>
          </cell>
          <cell r="C22">
            <v>14</v>
          </cell>
          <cell r="D22" t="str">
            <v>Billoch 375; Tigre</v>
          </cell>
          <cell r="E22">
            <v>10</v>
          </cell>
          <cell r="G22" t="str">
            <v>11 2462-2531</v>
          </cell>
        </row>
        <row r="23">
          <cell r="A23" t="str">
            <v>021</v>
          </cell>
          <cell r="B23" t="str">
            <v>GRANJA C Y S</v>
          </cell>
          <cell r="C23">
            <v>6</v>
          </cell>
          <cell r="D23" t="str">
            <v>Williams 888;  Tigre</v>
          </cell>
          <cell r="E23">
            <v>2</v>
          </cell>
          <cell r="G23" t="str">
            <v>11 6357-9321</v>
          </cell>
          <cell r="H23" t="str">
            <v>Contado</v>
          </cell>
          <cell r="I23" t="str">
            <v>Diario</v>
          </cell>
          <cell r="J23" t="str">
            <v>Efectivo</v>
          </cell>
        </row>
        <row r="24">
          <cell r="A24" t="str">
            <v>022</v>
          </cell>
          <cell r="B24" t="str">
            <v>UBA</v>
          </cell>
          <cell r="C24">
            <v>5</v>
          </cell>
          <cell r="E24">
            <v>1</v>
          </cell>
          <cell r="F24" t="str">
            <v>Envio saldo los Sabados temprano y se cobra mismo dia</v>
          </cell>
          <cell r="G24" t="str">
            <v>1126769507 Facundo</v>
          </cell>
          <cell r="H24" t="str">
            <v>CC</v>
          </cell>
          <cell r="I24" t="str">
            <v>Semanal</v>
          </cell>
          <cell r="J24" t="str">
            <v>Efectivo</v>
          </cell>
          <cell r="K24" t="str">
            <v>Cuando Trasnfiere</v>
          </cell>
          <cell r="L24" t="str">
            <v>B</v>
          </cell>
        </row>
        <row r="25">
          <cell r="A25" t="str">
            <v>023</v>
          </cell>
          <cell r="B25" t="str">
            <v>TIMON DORADO</v>
          </cell>
          <cell r="C25">
            <v>15</v>
          </cell>
          <cell r="D25" t="str">
            <v>Estacion Fluvial; Tigre</v>
          </cell>
          <cell r="E25">
            <v>11</v>
          </cell>
          <cell r="F25" t="str">
            <v>Envio saldo los Lunes temprano ( paga a semana vencida )</v>
          </cell>
          <cell r="G25" t="str">
            <v>1144260007 Romina</v>
          </cell>
          <cell r="H25" t="str">
            <v>CC</v>
          </cell>
          <cell r="I25" t="str">
            <v>Semanal</v>
          </cell>
          <cell r="J25" t="str">
            <v>MP</v>
          </cell>
          <cell r="K25" t="str">
            <v>Se factura cuando transfiere</v>
          </cell>
          <cell r="L25" t="str">
            <v>B</v>
          </cell>
        </row>
        <row r="26">
          <cell r="A26" t="str">
            <v>024</v>
          </cell>
          <cell r="B26" t="str">
            <v>COT</v>
          </cell>
          <cell r="C26">
            <v>5</v>
          </cell>
          <cell r="D26" t="str">
            <v>Lisandro de la Torre 2500; Troncos de Talar</v>
          </cell>
          <cell r="E26">
            <v>1</v>
          </cell>
          <cell r="G26" t="str">
            <v>1137562075 Roberto</v>
          </cell>
          <cell r="H26" t="str">
            <v>Contado</v>
          </cell>
          <cell r="I26" t="str">
            <v>Diario</v>
          </cell>
          <cell r="J26" t="str">
            <v>Efectivo</v>
          </cell>
        </row>
        <row r="27">
          <cell r="A27" t="str">
            <v>025</v>
          </cell>
          <cell r="B27" t="str">
            <v>UTN</v>
          </cell>
          <cell r="C27">
            <v>5</v>
          </cell>
          <cell r="D27" t="str">
            <v>Hipolito Yrigoyen; Puente Pacheco</v>
          </cell>
          <cell r="E27">
            <v>1</v>
          </cell>
          <cell r="G27" t="str">
            <v>1134478285 Estefania</v>
          </cell>
          <cell r="H27" t="str">
            <v>Contado</v>
          </cell>
          <cell r="I27" t="str">
            <v>Semanal</v>
          </cell>
          <cell r="J27" t="str">
            <v>Efectivo</v>
          </cell>
        </row>
        <row r="28">
          <cell r="A28" t="str">
            <v>026</v>
          </cell>
          <cell r="B28" t="str">
            <v>GLORIAS</v>
          </cell>
          <cell r="C28">
            <v>16</v>
          </cell>
          <cell r="D28" t="str">
            <v>Av Dardo Rocha 919; Tigre</v>
          </cell>
          <cell r="E28">
            <v>12</v>
          </cell>
          <cell r="F28" t="str">
            <v>Envio saldo los Lunes temprano</v>
          </cell>
          <cell r="G28" t="str">
            <v>1169033138 Lucas</v>
          </cell>
          <cell r="H28" t="str">
            <v>CC</v>
          </cell>
          <cell r="I28" t="str">
            <v>Semanal</v>
          </cell>
          <cell r="J28" t="str">
            <v>Efectivo</v>
          </cell>
        </row>
        <row r="29">
          <cell r="A29" t="str">
            <v>027</v>
          </cell>
          <cell r="B29" t="str">
            <v>POMPEYA</v>
          </cell>
          <cell r="C29">
            <v>17</v>
          </cell>
          <cell r="D29" t="str">
            <v>Av Cazon 1186; Tigre</v>
          </cell>
          <cell r="E29">
            <v>13</v>
          </cell>
          <cell r="F29" t="str">
            <v>Envio saldo los Lunes temprano</v>
          </cell>
          <cell r="G29" t="str">
            <v>1163362559 Lorena</v>
          </cell>
          <cell r="H29" t="str">
            <v>CC</v>
          </cell>
          <cell r="I29" t="str">
            <v>Semanal</v>
          </cell>
          <cell r="J29" t="str">
            <v>Efectivo</v>
          </cell>
        </row>
        <row r="30">
          <cell r="A30" t="str">
            <v>028</v>
          </cell>
          <cell r="B30" t="str">
            <v>ROWING</v>
          </cell>
          <cell r="C30">
            <v>5</v>
          </cell>
          <cell r="D30" t="str">
            <v>Coronel Morales 1563; Tigre</v>
          </cell>
          <cell r="E30">
            <v>1</v>
          </cell>
          <cell r="F30" t="str">
            <v>Envio Saldo 1ero de mes</v>
          </cell>
          <cell r="G30" t="str">
            <v>1157229213 Agustin</v>
          </cell>
          <cell r="H30" t="str">
            <v>CC</v>
          </cell>
          <cell r="I30" t="str">
            <v>Mensual</v>
          </cell>
          <cell r="J30" t="str">
            <v>Efectivo</v>
          </cell>
          <cell r="K30" t="str">
            <v>Mensual</v>
          </cell>
          <cell r="L30" t="str">
            <v>A</v>
          </cell>
        </row>
        <row r="31">
          <cell r="A31" t="str">
            <v>029</v>
          </cell>
          <cell r="B31" t="str">
            <v>BRODERS</v>
          </cell>
          <cell r="C31">
            <v>18</v>
          </cell>
          <cell r="E31">
            <v>14</v>
          </cell>
          <cell r="G31" t="str">
            <v>Celu Pana</v>
          </cell>
          <cell r="H31" t="str">
            <v>Contado</v>
          </cell>
          <cell r="I31" t="str">
            <v>Diario</v>
          </cell>
          <cell r="J31" t="str">
            <v>Efectivo</v>
          </cell>
        </row>
        <row r="32">
          <cell r="A32" t="str">
            <v>030</v>
          </cell>
          <cell r="B32" t="str">
            <v>STEFAN</v>
          </cell>
          <cell r="C32">
            <v>18</v>
          </cell>
          <cell r="D32" t="str">
            <v>Bartolome Mitre 74; Tigre</v>
          </cell>
          <cell r="E32">
            <v>14</v>
          </cell>
          <cell r="F32" t="str">
            <v>Siempre dejar luego de las 11 hrs</v>
          </cell>
          <cell r="G32" t="str">
            <v>11 3680-3909</v>
          </cell>
          <cell r="H32" t="str">
            <v>Contado</v>
          </cell>
          <cell r="I32" t="str">
            <v>Diario</v>
          </cell>
          <cell r="J32" t="str">
            <v>Efectivo</v>
          </cell>
        </row>
        <row r="33">
          <cell r="A33" t="str">
            <v>031</v>
          </cell>
          <cell r="B33" t="str">
            <v>TIA LITA</v>
          </cell>
          <cell r="C33">
            <v>19</v>
          </cell>
          <cell r="D33" t="str">
            <v>Paseo Victorica 134; Tigre</v>
          </cell>
          <cell r="E33">
            <v>15</v>
          </cell>
          <cell r="F33" t="str">
            <v>Envio saldo los Lunes temprano</v>
          </cell>
          <cell r="G33" t="str">
            <v>1162701894 Maxi</v>
          </cell>
          <cell r="H33" t="str">
            <v>CC</v>
          </cell>
          <cell r="I33" t="str">
            <v>Semanal</v>
          </cell>
          <cell r="J33" t="str">
            <v>MP</v>
          </cell>
          <cell r="K33" t="str">
            <v>Semanal</v>
          </cell>
          <cell r="L33" t="str">
            <v>A</v>
          </cell>
        </row>
        <row r="34">
          <cell r="A34" t="str">
            <v>032</v>
          </cell>
          <cell r="B34" t="str">
            <v>LOS ISLEÑOS</v>
          </cell>
          <cell r="C34">
            <v>19</v>
          </cell>
          <cell r="D34" t="str">
            <v>Sarmiento 49; Tigre Puerto de Frutos</v>
          </cell>
          <cell r="E34">
            <v>15</v>
          </cell>
        </row>
        <row r="35">
          <cell r="A35" t="str">
            <v>033</v>
          </cell>
          <cell r="B35" t="str">
            <v>NEGRI</v>
          </cell>
          <cell r="C35">
            <v>5</v>
          </cell>
          <cell r="D35" t="str">
            <v>Sarmiento 7; Tigre Puerto de Frutos</v>
          </cell>
          <cell r="E35">
            <v>1</v>
          </cell>
          <cell r="F35" t="str">
            <v>Envio Saldo Los Lunes Luego de las 10:00 am</v>
          </cell>
          <cell r="G35" t="str">
            <v>1160439139 Agustin</v>
          </cell>
          <cell r="H35" t="str">
            <v>CC</v>
          </cell>
          <cell r="I35" t="str">
            <v>Semanal</v>
          </cell>
          <cell r="J35" t="str">
            <v>MP</v>
          </cell>
          <cell r="K35" t="str">
            <v>Semanal</v>
          </cell>
          <cell r="L35" t="str">
            <v>A</v>
          </cell>
        </row>
        <row r="36">
          <cell r="A36" t="str">
            <v>034</v>
          </cell>
          <cell r="B36" t="str">
            <v>PALAS</v>
          </cell>
          <cell r="C36">
            <v>20</v>
          </cell>
          <cell r="E36">
            <v>16</v>
          </cell>
          <cell r="F36" t="str">
            <v>Envio saldo los Lunes temprano</v>
          </cell>
          <cell r="G36" t="str">
            <v>1150369343 Federico</v>
          </cell>
          <cell r="H36" t="str">
            <v>CC</v>
          </cell>
          <cell r="I36" t="str">
            <v>Semanal</v>
          </cell>
          <cell r="J36" t="str">
            <v>Efectivo</v>
          </cell>
        </row>
        <row r="37">
          <cell r="A37" t="str">
            <v>035</v>
          </cell>
          <cell r="B37" t="str">
            <v>IL FIUME</v>
          </cell>
          <cell r="C37">
            <v>5</v>
          </cell>
          <cell r="D37" t="str">
            <v>Paseo Victorica 96;  Tigre</v>
          </cell>
          <cell r="E37">
            <v>1</v>
          </cell>
          <cell r="G37" t="str">
            <v>1151644583 Lucas</v>
          </cell>
          <cell r="H37" t="str">
            <v>Contado</v>
          </cell>
          <cell r="I37" t="str">
            <v>Diario</v>
          </cell>
          <cell r="J37" t="str">
            <v>Efectivo</v>
          </cell>
        </row>
        <row r="38">
          <cell r="A38" t="str">
            <v>036</v>
          </cell>
          <cell r="B38" t="str">
            <v>ZIO PACO</v>
          </cell>
          <cell r="C38">
            <v>17</v>
          </cell>
          <cell r="D38" t="str">
            <v>Boulevard del Mirador 430; Tigre Nordelta la Bahia</v>
          </cell>
          <cell r="E38">
            <v>13</v>
          </cell>
          <cell r="G38" t="str">
            <v>1126258028 Gustavo</v>
          </cell>
          <cell r="H38" t="str">
            <v>CC</v>
          </cell>
          <cell r="I38" t="str">
            <v>Semanal</v>
          </cell>
          <cell r="J38" t="str">
            <v>Efectivo</v>
          </cell>
        </row>
        <row r="39">
          <cell r="A39" t="str">
            <v>037</v>
          </cell>
          <cell r="B39" t="str">
            <v>AGUSTIN/LUCAS CARNICERIA</v>
          </cell>
          <cell r="C39">
            <v>5</v>
          </cell>
          <cell r="E39">
            <v>1</v>
          </cell>
        </row>
        <row r="40">
          <cell r="A40" t="str">
            <v>038</v>
          </cell>
          <cell r="B40" t="str">
            <v>ALCAZAR</v>
          </cell>
          <cell r="C40">
            <v>5</v>
          </cell>
          <cell r="E40">
            <v>1</v>
          </cell>
          <cell r="F40" t="str">
            <v>Envio saldo los Lunes temprano</v>
          </cell>
          <cell r="G40" t="str">
            <v>1154199431 Marcelo</v>
          </cell>
          <cell r="H40" t="str">
            <v>CC</v>
          </cell>
          <cell r="I40" t="str">
            <v>Semanal</v>
          </cell>
          <cell r="J40" t="str">
            <v>MP/Efectivo</v>
          </cell>
          <cell r="K40" t="str">
            <v>Cuando Trasnfiere</v>
          </cell>
          <cell r="L40" t="str">
            <v>B</v>
          </cell>
        </row>
        <row r="41">
          <cell r="A41" t="str">
            <v>039</v>
          </cell>
          <cell r="B41" t="str">
            <v>BEMVELON/REMO</v>
          </cell>
          <cell r="C41">
            <v>15</v>
          </cell>
          <cell r="E41">
            <v>11</v>
          </cell>
        </row>
        <row r="42">
          <cell r="A42" t="str">
            <v>040</v>
          </cell>
          <cell r="B42" t="str">
            <v>RIO TIGRE HOTEL</v>
          </cell>
          <cell r="C42">
            <v>5</v>
          </cell>
          <cell r="E42">
            <v>1</v>
          </cell>
        </row>
        <row r="43">
          <cell r="A43" t="str">
            <v>041</v>
          </cell>
          <cell r="B43" t="str">
            <v>SOCIEDAD FOMENTO</v>
          </cell>
          <cell r="C43">
            <v>5</v>
          </cell>
          <cell r="E43">
            <v>1</v>
          </cell>
        </row>
        <row r="44">
          <cell r="A44" t="str">
            <v>042</v>
          </cell>
          <cell r="B44" t="str">
            <v>CLUB DEPORTIVO</v>
          </cell>
          <cell r="C44">
            <v>5</v>
          </cell>
          <cell r="E44">
            <v>1</v>
          </cell>
        </row>
        <row r="45">
          <cell r="A45" t="str">
            <v>043</v>
          </cell>
          <cell r="B45" t="str">
            <v>BORASO</v>
          </cell>
          <cell r="C45">
            <v>5</v>
          </cell>
          <cell r="E45">
            <v>1</v>
          </cell>
          <cell r="F45" t="str">
            <v>Envio Saldo 1ero de mes</v>
          </cell>
          <cell r="G45" t="str">
            <v>1161037893 Ramiro</v>
          </cell>
          <cell r="H45" t="str">
            <v>CC</v>
          </cell>
          <cell r="I45" t="str">
            <v>Mensual</v>
          </cell>
          <cell r="J45" t="str">
            <v>Efectivo</v>
          </cell>
          <cell r="K45" t="str">
            <v>Mensual</v>
          </cell>
        </row>
        <row r="46">
          <cell r="A46" t="str">
            <v>044</v>
          </cell>
          <cell r="B46" t="str">
            <v>CATERING BRAZZI</v>
          </cell>
          <cell r="C46">
            <v>21</v>
          </cell>
          <cell r="E46">
            <v>17</v>
          </cell>
          <cell r="F46" t="str">
            <v>Envio saldo los Lunes temprano</v>
          </cell>
          <cell r="G46" t="str">
            <v>1169021207 Pablo</v>
          </cell>
          <cell r="H46" t="str">
            <v>CC</v>
          </cell>
          <cell r="I46" t="str">
            <v>Semanal</v>
          </cell>
          <cell r="J46" t="str">
            <v>Transferencia</v>
          </cell>
          <cell r="K46" t="str">
            <v>Semanal</v>
          </cell>
          <cell r="L46" t="str">
            <v>A</v>
          </cell>
        </row>
        <row r="47">
          <cell r="A47" t="str">
            <v>045</v>
          </cell>
          <cell r="B47" t="str">
            <v>CAFÉ BAYONE</v>
          </cell>
          <cell r="C47">
            <v>22</v>
          </cell>
          <cell r="E47">
            <v>18</v>
          </cell>
        </row>
        <row r="48">
          <cell r="A48" t="str">
            <v>046</v>
          </cell>
          <cell r="B48" t="str">
            <v>JUANCHO 1</v>
          </cell>
          <cell r="C48">
            <v>23</v>
          </cell>
          <cell r="D48" t="str">
            <v>Belgrano 40; Los Troncos</v>
          </cell>
          <cell r="E48">
            <v>19</v>
          </cell>
          <cell r="G48" t="str">
            <v>1160529885 LOLO</v>
          </cell>
          <cell r="H48" t="str">
            <v>CC</v>
          </cell>
          <cell r="I48" t="str">
            <v>Efectivo</v>
          </cell>
          <cell r="J48" t="str">
            <v>A dia Vencido</v>
          </cell>
        </row>
        <row r="49">
          <cell r="A49" t="str">
            <v>047</v>
          </cell>
          <cell r="B49" t="str">
            <v>JUANCHO 2</v>
          </cell>
          <cell r="C49">
            <v>23</v>
          </cell>
          <cell r="D49" t="str">
            <v>Alexis Carrel 481; Los Troncos</v>
          </cell>
          <cell r="E49">
            <v>19</v>
          </cell>
          <cell r="G49" t="str">
            <v>1149276751 Claudio</v>
          </cell>
          <cell r="H49" t="str">
            <v>CC</v>
          </cell>
          <cell r="I49" t="str">
            <v>Efectivo</v>
          </cell>
          <cell r="J49" t="str">
            <v>A dia Vencido</v>
          </cell>
        </row>
        <row r="50">
          <cell r="A50" t="str">
            <v>048</v>
          </cell>
          <cell r="B50" t="str">
            <v>LAURA</v>
          </cell>
          <cell r="C50">
            <v>11</v>
          </cell>
          <cell r="E50">
            <v>7</v>
          </cell>
          <cell r="G50" t="str">
            <v>Celu Pana</v>
          </cell>
          <cell r="H50" t="str">
            <v>Contado</v>
          </cell>
          <cell r="I50" t="str">
            <v>Diario</v>
          </cell>
          <cell r="J50" t="str">
            <v>Efectivo</v>
          </cell>
        </row>
        <row r="51">
          <cell r="A51" t="str">
            <v>049</v>
          </cell>
          <cell r="B51" t="str">
            <v>GUERE GUERE RINCON</v>
          </cell>
          <cell r="C51">
            <v>24</v>
          </cell>
          <cell r="D51" t="str">
            <v>Williams 910;  Tigre, Rincon</v>
          </cell>
          <cell r="E51">
            <v>20</v>
          </cell>
          <cell r="F51" t="str">
            <v>Envio saldo los Lunes temprano</v>
          </cell>
          <cell r="G51" t="str">
            <v>1136929633 Sebastian</v>
          </cell>
          <cell r="H51" t="str">
            <v>CC</v>
          </cell>
          <cell r="I51" t="str">
            <v>Semanal</v>
          </cell>
          <cell r="J51" t="str">
            <v>Efectivo</v>
          </cell>
        </row>
        <row r="52">
          <cell r="A52" t="str">
            <v>050</v>
          </cell>
          <cell r="B52" t="str">
            <v>GUERE GUERE TORCUATO</v>
          </cell>
          <cell r="C52">
            <v>24</v>
          </cell>
          <cell r="D52" t="str">
            <v>Av del Angel T. de Alvear 1925; Don Torcuato</v>
          </cell>
          <cell r="E52">
            <v>20</v>
          </cell>
          <cell r="F52" t="str">
            <v>Envio saldo los Lunes temprano</v>
          </cell>
          <cell r="G52" t="str">
            <v>1136929633 Sebastian</v>
          </cell>
          <cell r="H52" t="str">
            <v>CC</v>
          </cell>
          <cell r="I52" t="str">
            <v>Semanal</v>
          </cell>
          <cell r="J52" t="str">
            <v>Efectivo</v>
          </cell>
        </row>
        <row r="53">
          <cell r="A53" t="str">
            <v>051</v>
          </cell>
          <cell r="B53" t="str">
            <v>TUTTO SAN FERNANDO</v>
          </cell>
          <cell r="C53">
            <v>25</v>
          </cell>
          <cell r="D53" t="str">
            <v>Constitucion 1148;  San Fernando</v>
          </cell>
          <cell r="E53">
            <v>21</v>
          </cell>
          <cell r="G53" t="str">
            <v>11 3502-4484</v>
          </cell>
          <cell r="H53" t="str">
            <v>Contado</v>
          </cell>
          <cell r="I53" t="str">
            <v>Diario</v>
          </cell>
          <cell r="J53" t="str">
            <v>Efectivo</v>
          </cell>
          <cell r="L53" t="str">
            <v>Mensual</v>
          </cell>
        </row>
        <row r="54">
          <cell r="A54" t="str">
            <v>052</v>
          </cell>
          <cell r="B54" t="str">
            <v>LA CREMONA</v>
          </cell>
          <cell r="C54">
            <v>25</v>
          </cell>
          <cell r="D54" t="str">
            <v>Av Avellaneda 1595;  San Fernando</v>
          </cell>
          <cell r="E54">
            <v>21</v>
          </cell>
          <cell r="G54" t="str">
            <v>1127350055 Alejandro</v>
          </cell>
          <cell r="H54" t="str">
            <v>Contado</v>
          </cell>
          <cell r="I54" t="str">
            <v>Diario</v>
          </cell>
          <cell r="J54" t="str">
            <v>Efectivo</v>
          </cell>
        </row>
        <row r="55">
          <cell r="A55" t="str">
            <v>053</v>
          </cell>
          <cell r="B55" t="str">
            <v>LA FILATA</v>
          </cell>
          <cell r="C55">
            <v>25</v>
          </cell>
          <cell r="D55" t="str">
            <v>3 de Febrero 237; San Fernando</v>
          </cell>
          <cell r="E55">
            <v>21</v>
          </cell>
          <cell r="G55" t="str">
            <v>1168543014 Mariano</v>
          </cell>
          <cell r="H55" t="str">
            <v>Contado</v>
          </cell>
          <cell r="I55" t="str">
            <v>Diario</v>
          </cell>
          <cell r="J55" t="str">
            <v>Efectivo</v>
          </cell>
        </row>
        <row r="56">
          <cell r="A56" t="str">
            <v>054</v>
          </cell>
          <cell r="B56" t="str">
            <v>MED DEL ABUELO</v>
          </cell>
          <cell r="C56">
            <v>24</v>
          </cell>
          <cell r="D56" t="str">
            <v>Av Cazon 1217; Tigre</v>
          </cell>
          <cell r="E56">
            <v>20</v>
          </cell>
          <cell r="F56" t="str">
            <v>Envio saldo los Lunes temprano</v>
          </cell>
          <cell r="G56" t="str">
            <v>1154143077 Norberto</v>
          </cell>
          <cell r="H56" t="str">
            <v>CC</v>
          </cell>
          <cell r="I56" t="str">
            <v>Semanal</v>
          </cell>
          <cell r="J56" t="str">
            <v>Efectivo</v>
          </cell>
          <cell r="L56" t="str">
            <v>Mensual</v>
          </cell>
        </row>
        <row r="57">
          <cell r="A57" t="str">
            <v>055</v>
          </cell>
          <cell r="B57" t="str">
            <v>Kiosko Charly</v>
          </cell>
          <cell r="F57" t="str">
            <v>Paga los Viernes con ese dia inclusive paso saldo antes que vaya ema</v>
          </cell>
          <cell r="G57" t="str">
            <v>Celu Pana</v>
          </cell>
          <cell r="H57" t="str">
            <v>CC</v>
          </cell>
          <cell r="I57" t="str">
            <v>CC</v>
          </cell>
          <cell r="J57" t="str">
            <v>Semanal</v>
          </cell>
        </row>
        <row r="58">
          <cell r="A58" t="str">
            <v>056</v>
          </cell>
          <cell r="B58" t="str">
            <v>Café Bayone</v>
          </cell>
          <cell r="C58">
            <v>22</v>
          </cell>
          <cell r="D58" t="str">
            <v>Galeria de los isleños al fondo</v>
          </cell>
          <cell r="E58">
            <v>18</v>
          </cell>
          <cell r="G58" t="str">
            <v>11 4070-5235</v>
          </cell>
          <cell r="H58" t="str">
            <v>Contado</v>
          </cell>
          <cell r="I58" t="str">
            <v>Diario</v>
          </cell>
          <cell r="J58" t="str">
            <v>Efectivo</v>
          </cell>
        </row>
        <row r="59">
          <cell r="A59" t="str">
            <v>057</v>
          </cell>
          <cell r="B59" t="str">
            <v>Rabito</v>
          </cell>
          <cell r="C59">
            <v>15</v>
          </cell>
          <cell r="E59">
            <v>11</v>
          </cell>
          <cell r="G59" t="str">
            <v>Celu Pana</v>
          </cell>
          <cell r="H59" t="str">
            <v>Contado</v>
          </cell>
          <cell r="I59" t="str">
            <v>Diario</v>
          </cell>
          <cell r="J59" t="str">
            <v>Efectivo</v>
          </cell>
        </row>
        <row r="60">
          <cell r="A60" t="str">
            <v>058</v>
          </cell>
          <cell r="B60" t="str">
            <v>Los Isleños</v>
          </cell>
          <cell r="C60">
            <v>19</v>
          </cell>
          <cell r="E60">
            <v>15</v>
          </cell>
          <cell r="G60" t="str">
            <v>1153323884 Pepa</v>
          </cell>
          <cell r="H60" t="str">
            <v>Contado</v>
          </cell>
          <cell r="I60" t="str">
            <v>Diario</v>
          </cell>
          <cell r="J60" t="str">
            <v>Efectivo</v>
          </cell>
        </row>
        <row r="61">
          <cell r="A61" t="str">
            <v>059</v>
          </cell>
          <cell r="B61" t="str">
            <v>Carlitos</v>
          </cell>
          <cell r="C61">
            <v>5</v>
          </cell>
          <cell r="E61">
            <v>1</v>
          </cell>
          <cell r="G61" t="str">
            <v>Celu Pana</v>
          </cell>
          <cell r="H61" t="str">
            <v>Contado</v>
          </cell>
          <cell r="I61" t="str">
            <v>Diario</v>
          </cell>
          <cell r="J61" t="str">
            <v>Efectivo</v>
          </cell>
        </row>
        <row r="62">
          <cell r="A62" t="str">
            <v>060</v>
          </cell>
          <cell r="B62" t="str">
            <v>Union Tigrense</v>
          </cell>
          <cell r="C62">
            <v>5</v>
          </cell>
          <cell r="E62">
            <v>1</v>
          </cell>
          <cell r="G62" t="str">
            <v>1134433515 Lucas</v>
          </cell>
          <cell r="H62" t="str">
            <v>Contado</v>
          </cell>
          <cell r="I62" t="str">
            <v>Diario</v>
          </cell>
          <cell r="J62" t="str">
            <v>Efectivo</v>
          </cell>
        </row>
        <row r="63">
          <cell r="A63" t="str">
            <v>061</v>
          </cell>
          <cell r="B63" t="str">
            <v>Prisila puerto</v>
          </cell>
          <cell r="C63">
            <v>5</v>
          </cell>
          <cell r="E63">
            <v>14</v>
          </cell>
          <cell r="G63" t="str">
            <v>Celu Pana</v>
          </cell>
          <cell r="H63" t="str">
            <v>Contado</v>
          </cell>
          <cell r="I63" t="str">
            <v>Diario</v>
          </cell>
          <cell r="J63" t="str">
            <v>Efectivo</v>
          </cell>
        </row>
        <row r="64">
          <cell r="A64" t="str">
            <v>062</v>
          </cell>
          <cell r="B64" t="str">
            <v>Escuelas</v>
          </cell>
          <cell r="C64">
            <v>10</v>
          </cell>
          <cell r="E64">
            <v>1</v>
          </cell>
          <cell r="G64" t="str">
            <v>Celu Pana</v>
          </cell>
          <cell r="H64" t="str">
            <v>Contado</v>
          </cell>
          <cell r="I64" t="str">
            <v>Diario</v>
          </cell>
          <cell r="J64" t="str">
            <v>Debito/Efectivo</v>
          </cell>
        </row>
        <row r="65">
          <cell r="A65" t="str">
            <v>063</v>
          </cell>
          <cell r="B65" t="str">
            <v>Isla Bruma</v>
          </cell>
          <cell r="C65">
            <v>5</v>
          </cell>
          <cell r="D65" t="str">
            <v>Paseo Victorica 498; Tigre</v>
          </cell>
          <cell r="E65">
            <v>1</v>
          </cell>
          <cell r="G65" t="str">
            <v>1158055802 Bruno</v>
          </cell>
          <cell r="H65" t="str">
            <v>CC</v>
          </cell>
          <cell r="I65" t="str">
            <v>Semanal</v>
          </cell>
          <cell r="J65" t="str">
            <v>MP</v>
          </cell>
          <cell r="K65" t="str">
            <v>Cuando Trasnfiere</v>
          </cell>
          <cell r="L65" t="str">
            <v>B</v>
          </cell>
        </row>
        <row r="66">
          <cell r="A66" t="str">
            <v>064</v>
          </cell>
          <cell r="B66" t="str">
            <v>Coke Rowing</v>
          </cell>
          <cell r="G66" t="str">
            <v>1150024422 Coke</v>
          </cell>
          <cell r="H66" t="str">
            <v>Contado</v>
          </cell>
          <cell r="I66" t="str">
            <v>Diario</v>
          </cell>
          <cell r="J66" t="str">
            <v>Efectivo</v>
          </cell>
        </row>
        <row r="67">
          <cell r="A67" t="str">
            <v>065</v>
          </cell>
          <cell r="B67" t="str">
            <v>San Fer pan rayado</v>
          </cell>
          <cell r="C67">
            <v>7</v>
          </cell>
          <cell r="D67" t="str">
            <v>Maipu 2146</v>
          </cell>
          <cell r="E67">
            <v>3</v>
          </cell>
        </row>
        <row r="68">
          <cell r="A68" t="str">
            <v>066</v>
          </cell>
          <cell r="B68" t="str">
            <v>Noc</v>
          </cell>
          <cell r="C68">
            <v>5</v>
          </cell>
          <cell r="D68" t="str">
            <v>Av Cazon (esquina Mitre) ; Tigre</v>
          </cell>
          <cell r="E68">
            <v>1</v>
          </cell>
        </row>
        <row r="69">
          <cell r="A69" t="str">
            <v>067</v>
          </cell>
          <cell r="B69" t="str">
            <v>Gelay</v>
          </cell>
          <cell r="C69">
            <v>5</v>
          </cell>
          <cell r="D69" t="str">
            <v>Av Liniers 1811; Tigre</v>
          </cell>
          <cell r="E69">
            <v>1</v>
          </cell>
        </row>
        <row r="70">
          <cell r="A70" t="str">
            <v>068</v>
          </cell>
          <cell r="B70" t="str">
            <v>La Cueva</v>
          </cell>
          <cell r="C70">
            <v>5</v>
          </cell>
          <cell r="D70" t="str">
            <v>Italia 1678</v>
          </cell>
          <cell r="E70">
            <v>1</v>
          </cell>
        </row>
        <row r="71">
          <cell r="A71" t="str">
            <v>069</v>
          </cell>
          <cell r="B71" t="str">
            <v>Daniel Pan Rayado</v>
          </cell>
          <cell r="C71">
            <v>7</v>
          </cell>
          <cell r="E71">
            <v>3</v>
          </cell>
          <cell r="F71" t="str">
            <v>Martinez Castro 2910 Soldati</v>
          </cell>
          <cell r="G71">
            <v>1162340920</v>
          </cell>
          <cell r="H71" t="str">
            <v>Contado</v>
          </cell>
          <cell r="I71" t="str">
            <v>Diario</v>
          </cell>
          <cell r="J71" t="str">
            <v>Efectivo</v>
          </cell>
        </row>
        <row r="72">
          <cell r="A72" t="str">
            <v>070</v>
          </cell>
          <cell r="B72" t="str">
            <v>Parrilla Larralde (Al lado de YPF)</v>
          </cell>
          <cell r="C72">
            <v>5</v>
          </cell>
          <cell r="E72">
            <v>1</v>
          </cell>
        </row>
        <row r="73">
          <cell r="A73" t="str">
            <v>071</v>
          </cell>
          <cell r="B73" t="str">
            <v>Sabores Dut Martinez</v>
          </cell>
          <cell r="C73">
            <v>5</v>
          </cell>
          <cell r="E73">
            <v>9</v>
          </cell>
        </row>
        <row r="74">
          <cell r="A74" t="str">
            <v>072</v>
          </cell>
          <cell r="B74" t="str">
            <v>Jessica Puerto</v>
          </cell>
          <cell r="C74">
            <v>6</v>
          </cell>
        </row>
        <row r="75">
          <cell r="A75" t="str">
            <v>073</v>
          </cell>
          <cell r="B75" t="str">
            <v>El Paisanito (Monica isla)</v>
          </cell>
          <cell r="C75">
            <v>5</v>
          </cell>
          <cell r="E75">
            <v>1</v>
          </cell>
          <cell r="F75" t="str">
            <v>Muelle el paisanito, lancha jilguero 12hs. Solo sabados</v>
          </cell>
          <cell r="G75">
            <v>1138600570</v>
          </cell>
          <cell r="I75" t="str">
            <v>mp</v>
          </cell>
        </row>
        <row r="76">
          <cell r="A76" t="str">
            <v>074</v>
          </cell>
          <cell r="B76" t="str">
            <v>Agridulce (stefi)</v>
          </cell>
          <cell r="C76">
            <v>5</v>
          </cell>
          <cell r="D76" t="str">
            <v>saenz peña 1255</v>
          </cell>
          <cell r="E76">
            <v>1</v>
          </cell>
          <cell r="F76" t="str">
            <v>entre sarmiento y guareschi, abre 7:30. todo cocido</v>
          </cell>
          <cell r="G76">
            <v>1135995965</v>
          </cell>
        </row>
        <row r="77">
          <cell r="A77" t="str">
            <v>075</v>
          </cell>
          <cell r="B77" t="str">
            <v>Bar Marilyn</v>
          </cell>
          <cell r="C77">
            <v>5</v>
          </cell>
          <cell r="E77">
            <v>1</v>
          </cell>
        </row>
        <row r="78">
          <cell r="A78" t="str">
            <v>076</v>
          </cell>
          <cell r="B78" t="str">
            <v>Baruc</v>
          </cell>
          <cell r="C78">
            <v>5</v>
          </cell>
          <cell r="D78" t="str">
            <v>Estacion Fluvial; Tigre</v>
          </cell>
          <cell r="E78">
            <v>1</v>
          </cell>
          <cell r="G78" t="str">
            <v>11 2896-5860</v>
          </cell>
        </row>
        <row r="79">
          <cell r="A79" t="str">
            <v>077</v>
          </cell>
          <cell r="B79" t="str">
            <v>ITALIA</v>
          </cell>
          <cell r="C79">
            <v>26</v>
          </cell>
        </row>
        <row r="80">
          <cell r="A80" t="str">
            <v>078</v>
          </cell>
          <cell r="B80" t="str">
            <v>Cristian Selicorni</v>
          </cell>
          <cell r="C80">
            <v>5</v>
          </cell>
        </row>
        <row r="81">
          <cell r="A81" t="str">
            <v>079</v>
          </cell>
          <cell r="B81" t="str">
            <v>Los 3 Chiflados</v>
          </cell>
          <cell r="C81">
            <v>5</v>
          </cell>
          <cell r="D81" t="str">
            <v>Av Italia 857</v>
          </cell>
          <cell r="G81">
            <v>1164633923</v>
          </cell>
        </row>
        <row r="82">
          <cell r="A82" t="str">
            <v>080</v>
          </cell>
          <cell r="B82" t="str">
            <v>La Rivera</v>
          </cell>
          <cell r="C82">
            <v>5</v>
          </cell>
        </row>
        <row r="83">
          <cell r="A83" t="str">
            <v>081</v>
          </cell>
          <cell r="B83" t="str">
            <v>Astor Bar</v>
          </cell>
          <cell r="C83">
            <v>5</v>
          </cell>
          <cell r="G83">
            <v>1133238894</v>
          </cell>
          <cell r="I83" t="str">
            <v>eft</v>
          </cell>
          <cell r="J83" t="str">
            <v>paga</v>
          </cell>
        </row>
        <row r="84">
          <cell r="A84" t="str">
            <v>082</v>
          </cell>
          <cell r="B84" t="str">
            <v>hecho con amor</v>
          </cell>
          <cell r="C84">
            <v>5</v>
          </cell>
          <cell r="D84" t="str">
            <v>bourdieu 595</v>
          </cell>
          <cell r="G84">
            <v>1165301157</v>
          </cell>
          <cell r="J84" t="str">
            <v>paga</v>
          </cell>
        </row>
        <row r="85">
          <cell r="A85" t="str">
            <v>083</v>
          </cell>
          <cell r="B85" t="str">
            <v>HISPANO</v>
          </cell>
          <cell r="C85">
            <v>5</v>
          </cell>
        </row>
        <row r="86">
          <cell r="A86" t="str">
            <v>084</v>
          </cell>
          <cell r="B86" t="str">
            <v>Espacio Rivera</v>
          </cell>
          <cell r="C86">
            <v>6</v>
          </cell>
        </row>
        <row r="87">
          <cell r="A87" t="str">
            <v>085</v>
          </cell>
          <cell r="B87" t="str">
            <v>San Cayetano</v>
          </cell>
          <cell r="C87">
            <v>5</v>
          </cell>
          <cell r="D87" t="str">
            <v>Larralde 1595</v>
          </cell>
          <cell r="G87" t="str">
            <v>115104-5044</v>
          </cell>
        </row>
        <row r="88">
          <cell r="A88" t="str">
            <v>086</v>
          </cell>
          <cell r="B88" t="str">
            <v>Almacen de Pan SF</v>
          </cell>
          <cell r="C88">
            <v>26</v>
          </cell>
        </row>
        <row r="89">
          <cell r="A89" t="str">
            <v>087</v>
          </cell>
          <cell r="B89" t="str">
            <v>Berlina</v>
          </cell>
          <cell r="C89">
            <v>5</v>
          </cell>
          <cell r="D89" t="str">
            <v>Av. Liniers 2466</v>
          </cell>
        </row>
        <row r="90">
          <cell r="A90" t="str">
            <v>088</v>
          </cell>
          <cell r="B90" t="str">
            <v>La Casona</v>
          </cell>
          <cell r="C90">
            <v>5</v>
          </cell>
        </row>
        <row r="91">
          <cell r="A91" t="str">
            <v>089</v>
          </cell>
          <cell r="B91" t="str">
            <v>Club Nautico Albatros Victoria</v>
          </cell>
          <cell r="C91">
            <v>5</v>
          </cell>
        </row>
        <row r="92">
          <cell r="A92" t="str">
            <v>090</v>
          </cell>
          <cell r="B92" t="str">
            <v>Dietetica KATI</v>
          </cell>
          <cell r="C92">
            <v>6</v>
          </cell>
          <cell r="D92" t="str">
            <v>Bordeiu 411</v>
          </cell>
        </row>
        <row r="93">
          <cell r="A93" t="str">
            <v>091</v>
          </cell>
          <cell r="B93" t="str">
            <v>Fariña</v>
          </cell>
          <cell r="C93">
            <v>17</v>
          </cell>
        </row>
        <row r="94">
          <cell r="A94" t="str">
            <v>092</v>
          </cell>
          <cell r="B94" t="str">
            <v>Yaquelin</v>
          </cell>
          <cell r="C94">
            <v>5</v>
          </cell>
          <cell r="D94" t="str">
            <v>Lugones 1584, entre Williams y Garibaldi</v>
          </cell>
        </row>
        <row r="95">
          <cell r="A95" t="str">
            <v>093</v>
          </cell>
          <cell r="B95" t="str">
            <v>ANTOJOS CALENTITOS - DIEGO</v>
          </cell>
          <cell r="C95">
            <v>24</v>
          </cell>
          <cell r="D95" t="str">
            <v>COLON 1382</v>
          </cell>
          <cell r="I95" t="str">
            <v>EFT</v>
          </cell>
          <cell r="J95" t="str">
            <v>SEMANAL</v>
          </cell>
          <cell r="L95" t="str">
            <v>CRUDO</v>
          </cell>
        </row>
        <row r="96">
          <cell r="A96" t="str">
            <v>094</v>
          </cell>
          <cell r="B96" t="str">
            <v>PAN - DIEGO</v>
          </cell>
          <cell r="C96">
            <v>24</v>
          </cell>
          <cell r="D96" t="str">
            <v>FRENCH 1135</v>
          </cell>
          <cell r="I96" t="str">
            <v>EFT</v>
          </cell>
          <cell r="J96" t="str">
            <v>SEMANAL</v>
          </cell>
          <cell r="L96" t="str">
            <v>CRUDO</v>
          </cell>
        </row>
        <row r="97">
          <cell r="A97" t="str">
            <v>095</v>
          </cell>
        </row>
        <row r="98">
          <cell r="A98" t="str">
            <v>096</v>
          </cell>
        </row>
        <row r="99">
          <cell r="A99" t="str">
            <v>097</v>
          </cell>
        </row>
        <row r="100">
          <cell r="A100" t="str">
            <v>098</v>
          </cell>
        </row>
        <row r="101">
          <cell r="A101" t="str">
            <v>099</v>
          </cell>
        </row>
        <row r="102">
          <cell r="A102" t="str">
            <v>100</v>
          </cell>
        </row>
        <row r="103">
          <cell r="A103" t="str">
            <v>900</v>
          </cell>
          <cell r="B103" t="str">
            <v>Gaston</v>
          </cell>
          <cell r="C103">
            <v>5</v>
          </cell>
          <cell r="E103">
            <v>1</v>
          </cell>
        </row>
        <row r="104">
          <cell r="A104" t="str">
            <v>901</v>
          </cell>
          <cell r="B104" t="str">
            <v>Federico</v>
          </cell>
          <cell r="C104">
            <v>4</v>
          </cell>
          <cell r="E104">
            <v>0</v>
          </cell>
        </row>
        <row r="105">
          <cell r="A105" t="str">
            <v>902</v>
          </cell>
          <cell r="B105" t="str">
            <v>Alan</v>
          </cell>
          <cell r="C105">
            <v>4</v>
          </cell>
          <cell r="E105">
            <v>0</v>
          </cell>
        </row>
        <row r="106">
          <cell r="A106" t="str">
            <v>903</v>
          </cell>
          <cell r="B106" t="str">
            <v>Angel</v>
          </cell>
          <cell r="C106">
            <v>4</v>
          </cell>
          <cell r="E106">
            <v>0</v>
          </cell>
        </row>
        <row r="107">
          <cell r="A107" t="str">
            <v>904</v>
          </cell>
          <cell r="B107" t="str">
            <v>Gabriel Jerez</v>
          </cell>
          <cell r="C107">
            <v>4</v>
          </cell>
          <cell r="E107">
            <v>0</v>
          </cell>
        </row>
        <row r="108">
          <cell r="A108" t="str">
            <v>905</v>
          </cell>
          <cell r="B108" t="str">
            <v>Gabriel R</v>
          </cell>
          <cell r="C108">
            <v>4</v>
          </cell>
          <cell r="E108">
            <v>0</v>
          </cell>
        </row>
        <row r="109">
          <cell r="A109" t="str">
            <v>906</v>
          </cell>
          <cell r="B109" t="str">
            <v>Maxi</v>
          </cell>
          <cell r="C109">
            <v>4</v>
          </cell>
          <cell r="E109">
            <v>0</v>
          </cell>
        </row>
        <row r="110">
          <cell r="A110" t="str">
            <v>907</v>
          </cell>
          <cell r="B110" t="str">
            <v>Juan P</v>
          </cell>
          <cell r="C110">
            <v>4</v>
          </cell>
          <cell r="E110">
            <v>0</v>
          </cell>
        </row>
        <row r="111">
          <cell r="A111" t="str">
            <v>908</v>
          </cell>
          <cell r="B111" t="str">
            <v>Juan F</v>
          </cell>
          <cell r="C111">
            <v>4</v>
          </cell>
          <cell r="E111">
            <v>0</v>
          </cell>
        </row>
        <row r="112">
          <cell r="A112" t="str">
            <v>909</v>
          </cell>
          <cell r="B112" t="str">
            <v>Sergio</v>
          </cell>
          <cell r="C112">
            <v>4</v>
          </cell>
          <cell r="E112">
            <v>0</v>
          </cell>
        </row>
        <row r="113">
          <cell r="A113" t="str">
            <v>910</v>
          </cell>
          <cell r="B113" t="str">
            <v>Florencia</v>
          </cell>
          <cell r="C113">
            <v>4</v>
          </cell>
          <cell r="E113">
            <v>0</v>
          </cell>
        </row>
        <row r="114">
          <cell r="A114" t="str">
            <v>911</v>
          </cell>
          <cell r="B114" t="str">
            <v>Sebastian Soriano</v>
          </cell>
          <cell r="C114">
            <v>5</v>
          </cell>
          <cell r="E114">
            <v>1</v>
          </cell>
        </row>
        <row r="115">
          <cell r="A115" t="str">
            <v>912</v>
          </cell>
          <cell r="B115" t="str">
            <v>Agustin (Gusti)</v>
          </cell>
          <cell r="C115">
            <v>5</v>
          </cell>
          <cell r="E115">
            <v>1</v>
          </cell>
        </row>
        <row r="116">
          <cell r="A116" t="str">
            <v>913</v>
          </cell>
          <cell r="B116" t="str">
            <v>Agustina</v>
          </cell>
          <cell r="C116">
            <v>4</v>
          </cell>
          <cell r="E116">
            <v>0</v>
          </cell>
        </row>
        <row r="117">
          <cell r="A117" t="str">
            <v>914</v>
          </cell>
          <cell r="B117" t="str">
            <v>Alejandra</v>
          </cell>
          <cell r="C117">
            <v>4</v>
          </cell>
          <cell r="E11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-LPM"/>
      <sheetName val="Insumos"/>
      <sheetName val="Clientes "/>
      <sheetName val="LINIERS"/>
      <sheetName val="VILLA TERRA"/>
      <sheetName val="ITALIA"/>
      <sheetName val="RICON"/>
      <sheetName val="Insumos Viejos"/>
      <sheetName val="Productos"/>
      <sheetName val="Productos faltantes de Costear"/>
      <sheetName val="ROSQUITAS Y BOLITAS"/>
      <sheetName val="CHIPS"/>
      <sheetName val="0001-2401-PAN"/>
      <sheetName val="2461-SABORIZADOS"/>
      <sheetName val="0007-Bollitos"/>
      <sheetName val="0009-PAN DE PIZZA"/>
      <sheetName val="0012-0028-PAN DE MOLDE CHICO (F"/>
      <sheetName val="0017-Pan de Molde Blanco Gde"/>
      <sheetName val="0025-0029-PAN DE MOLDE CHICO (F"/>
      <sheetName val="0010-0014-Pan de campo zep B"/>
      <sheetName val="0026-Pan de Molde Negro Gde"/>
      <sheetName val="Pan de Campo 200 grs"/>
      <sheetName val="0013-2416-Pan de Campo X UNIDAD"/>
      <sheetName val="0027-Pan de campo zep Mul"/>
      <sheetName val="2407-Negrito"/>
      <sheetName val="0004-2431-Figasa"/>
      <sheetName val="Bollitos Brioche"/>
      <sheetName val="SLIDER"/>
      <sheetName val="0101-2480-ZAPATILLAS X UNIDAD"/>
      <sheetName val="0125-ZAPATILLAS X UNIDAD 22 cm "/>
      <sheetName val="0102-2417-ARABE"/>
      <sheetName val="Ciabatta otra"/>
      <sheetName val="Pan De molde Avena"/>
      <sheetName val="0608-2469-CIABATA"/>
      <sheetName val="0103-2460-Pebete"/>
      <sheetName val="0105-0106-SUPER PANCHO"/>
      <sheetName val="0113-0115-PANCHO CHICO"/>
      <sheetName val="0111-2411-HAMBURGUESA GRANDE"/>
      <sheetName val="0109-HAMBURGUESA CHICA CON SEMI"/>
      <sheetName val="Pan de papa con queso"/>
      <sheetName val="Pan Tipo Bimbo Gde"/>
      <sheetName val="Pan tipo bimbo"/>
      <sheetName val="0116-BAGEL X 2"/>
      <sheetName val="0117-PAN DE PAPA C SEMILLA X UN"/>
      <sheetName val="0122-PAN DPP C-Q NUEVO"/>
      <sheetName val="0122-PAN DPP C-Q viejo"/>
      <sheetName val="0201-0202-2442-2464-2467-CROISS"/>
      <sheetName val="0204-2422-CHIPA"/>
      <sheetName val="0206-2484-BIZCOCHO DE "/>
      <sheetName val="0229-2428-CUERNITOS DE GRASA X "/>
      <sheetName val="0210-2421-GALLETA DE GRASA"/>
      <sheetName val="0226-2470-GALLETA DE GRASA CON "/>
      <sheetName val="0223-2472-GALLETA DE GRASA C QU"/>
      <sheetName val="0212-FOCACCIA"/>
      <sheetName val="FOCACCIA 15-08"/>
      <sheetName val="0215-TALITAS"/>
      <sheetName val="0231-GRISINES"/>
      <sheetName val="0218-TORTA FRITA X UNIDAD"/>
      <sheetName val="0224-TRENSAS"/>
      <sheetName val="0227-PAN DE LECHEX UNIDAD"/>
      <sheetName val="0301-2425-CREMONA CHICA X UNIDA"/>
      <sheetName val="0304-2423-CREMONA SOLA"/>
      <sheetName val="0305-2430-CREMONA DULCE"/>
      <sheetName val="0307-2429-CREMONA DE JAMON Y QU"/>
      <sheetName val="0306-2426-CREMONA CON CHICHA"/>
      <sheetName val="0401-PREPIZZA de tomate"/>
      <sheetName val="0403-PREPIZZA CEBOLLA "/>
      <sheetName val="0405-PREPIZZA INDIVIDUAL"/>
      <sheetName val="0407-PREPIZZA SALVADO"/>
      <sheetName val="0409-PREPIZZA MIXTA"/>
      <sheetName val="0408-PIZZETA X 12 UNID."/>
      <sheetName val="0411-2322-PLANCHA DE PIZZA"/>
      <sheetName val="0501-2453-2447-SACRAMENTOS"/>
      <sheetName val="0515-0517-2304-2443-Med. Mantec"/>
      <sheetName val="0516-2321-2446-TORTITA NEGRA"/>
      <sheetName val="0519-BOLAS DE FRAILE"/>
      <sheetName val="0520-DONAS"/>
      <sheetName val="0521-Vienesas"/>
      <sheetName val="0601-0604-SANDWICH MIGA"/>
      <sheetName val="0603- 1PBT J Y Q   S Y Q"/>
      <sheetName val="SANDWICH MATAMBRE POLLO"/>
      <sheetName val="0611-12-BAGUETIN J Y QUESO"/>
      <sheetName val="0613-SANDWICH PAN NEGRO ( J Y Q"/>
      <sheetName val="0613-0614-0615 pan negr0 syq"/>
      <sheetName val="0615-SAND PAN NEGRO CRUDO LECHU"/>
      <sheetName val="0616-SAND POLLO QUESO BRIE Y RU"/>
      <sheetName val="0706-ENSALADAS DE FRUTAS"/>
      <sheetName val="0702-ENSALADA CEASAR"/>
      <sheetName val="0704-0705-0707-2477-EMPANADA"/>
      <sheetName val="EMPANADA HOJALDRE"/>
      <sheetName val="0704-0705-0708-2478-EMPANADA"/>
      <sheetName val="Empanada de Atun"/>
      <sheetName val="0704-0705-0716-2479-EMPANADA"/>
      <sheetName val="Tortilla de Espinaca"/>
      <sheetName val="Wraps pollo y atun"/>
      <sheetName val="0711-TARTA DE BROCOLI"/>
      <sheetName val="Roll Verdura"/>
      <sheetName val="Terrina"/>
      <sheetName val="Canelones"/>
      <sheetName val=" Calabaza Rellena"/>
      <sheetName val="Suprema cpapas"/>
      <sheetName val="Tortilla de Papa"/>
      <sheetName val="BAGUEL C-BONDIOLA"/>
      <sheetName val="MATAMBRE POLLO"/>
      <sheetName val="TARTA JYQ"/>
      <sheetName val="Tarta de Pollo"/>
      <sheetName val="Miga Palmitos"/>
      <sheetName val="Ensa PANCETA"/>
      <sheetName val="LOCRO"/>
      <sheetName val="Pionono c dll"/>
      <sheetName val="Pionono"/>
      <sheetName val="0515-0517-2304-2443-Med. Seba-"/>
      <sheetName val="Torta Mousse y Fr"/>
      <sheetName val="Torta Sacher"/>
      <sheetName val="Tarta Pistacho"/>
      <sheetName val="0804-TORTA GRANDE"/>
      <sheetName val="0805-RICOTA"/>
      <sheetName val="0806-0831-PASTA FROLA "/>
      <sheetName val="0810-Copito"/>
      <sheetName val="0808-Tarta frutilla"/>
      <sheetName val="0809-Tofi"/>
      <sheetName val="0811-Cabsha"/>
      <sheetName val="0812-Tarta Manzana"/>
      <sheetName val="0813-Lemonpie "/>
      <sheetName val="0814-0832-0833-0834CHEESE CAKE "/>
      <sheetName val="0815-NUTELLA"/>
      <sheetName val="TARTA DE PISTACHO "/>
      <sheetName val="0816-TIRAMISU"/>
      <sheetName val="0817-MIL HOJAS"/>
      <sheetName val="0818-Chocotorta"/>
      <sheetName val="0820-CHAJA "/>
      <sheetName val="0826-MOLINO CHOCOLATE"/>
      <sheetName val="0827-BALCARCE"/>
      <sheetName val="0828-ADRIANA"/>
      <sheetName val="0829-ROGEL"/>
      <sheetName val="0830-COCO CON DDL"/>
      <sheetName val="0835-SELVA NEGRA"/>
      <sheetName val="0821-Choco oreo"/>
      <sheetName val="0837-TORTA SANDWICH"/>
      <sheetName val="0836- TOFY CH. BLANCO"/>
      <sheetName val="Tarta Sniker"/>
      <sheetName val="Bizco c ddl y crema"/>
      <sheetName val="0917-KieLemonpie"/>
      <sheetName val="0902-Brownie porcion"/>
      <sheetName val="0903-RICOTA PORCION"/>
      <sheetName val="0904-Porciones Manzana"/>
      <sheetName val="0915-Lingote Chocotorta"/>
      <sheetName val="0916-Choco oreo Lingote"/>
      <sheetName val="0907-MIL HOJAS  PORCION"/>
      <sheetName val="0910-19-20-21-22CHEESE CAKEMINI"/>
      <sheetName val="Mini Tarta Key Lemon"/>
      <sheetName val="0925-0926- FROLA  PORCION"/>
      <sheetName val="1001-1010-FLORA INDIVIDUAL MEMB"/>
      <sheetName val="1002-RICOTA INDIVIDUAL"/>
      <sheetName val="1003-Lemonpie indv. "/>
      <sheetName val="1004-Tarta Manzana Indiv."/>
      <sheetName val="1005-FRUTILLA INDIVIDUAL"/>
      <sheetName val="1007-Cabsha Ind."/>
      <sheetName val="1008-Tofi Indv."/>
      <sheetName val="1009-Copito Indv."/>
      <sheetName val="1012-COCO CON DDL INDIVIDUAL"/>
      <sheetName val="1013-NUTELLA individual"/>
      <sheetName val="Brownie betty"/>
      <sheetName val="Matilda Betty"/>
      <sheetName val="Cheese Cake Pistacho Betty"/>
      <sheetName val="Cheese Cake f.Rojos Betty"/>
      <sheetName val="Torta Suiza Betty"/>
      <sheetName val="Red Velvet Betty"/>
      <sheetName val="Carrot Cake Betty"/>
      <sheetName val="Bizcochuelo durazno betty"/>
      <sheetName val="BUDIN INTEGRAL BETTY"/>
      <sheetName val="Key Lime Pie Betty"/>
      <sheetName val="Budin Vegano Manzana Betty"/>
      <sheetName val="Budin Vegano f bosque Betty"/>
      <sheetName val="Budin Banana Betty"/>
      <sheetName val="1108-COQUITOS x kg MAYORISTA"/>
      <sheetName val="1109-ROSQUITAS ESPAÑOLAS x kg M"/>
      <sheetName val="1111-SCONS DE QUESO x kg MAYORI"/>
      <sheetName val="1110-SCONS DULCES x kg MAYORIST"/>
      <sheetName val="1113-PALITOS DE ANIS"/>
      <sheetName val="1115-COOKIES AVENA Y PASAS"/>
      <sheetName val="1116-COOKIES VAINILLA C  CHIPS "/>
      <sheetName val="1117-COOKIES DE CHOCOLATE CON C"/>
      <sheetName val="1118-COOKIES DE ROCKLERST"/>
      <sheetName val="1119-2351GALLETITAS palmeritas"/>
      <sheetName val="1120-2352GALLETITAS membrillito"/>
      <sheetName val="1111-2473-SCONS DE QUESO x kg M"/>
      <sheetName val="1112-2471-PALITOS DE QUESO "/>
      <sheetName val="1107-PEPAS MEMBRILLO"/>
      <sheetName val="1114-PEPAS BATATA X KG MAYORIST"/>
      <sheetName val="Cocadas"/>
      <sheetName val="Alfajor de manteca"/>
      <sheetName val="Alfajor Pistacho y ddl"/>
      <sheetName val="Alfajor Pistacho ddl y Merme"/>
      <sheetName val="Alfajor Pistacho Ch"/>
      <sheetName val="1503-ALFAJOR MAICENA"/>
      <sheetName val="1504-TUBITOS ALMACEN PAN MAICEN"/>
      <sheetName val="1505-COCO  NEGRO NUEZ GRAND"/>
      <sheetName val="ALF coco Grande"/>
      <sheetName val="1209-MASAS SECAS"/>
      <sheetName val="1211-MASAS FINAS KG"/>
      <sheetName val="Nuevo-Masas Secas"/>
      <sheetName val="Muffins"/>
      <sheetName val="PLACA DE LIMON Y AMAPOLA"/>
      <sheetName val="Budin Naranja"/>
      <sheetName val="Budin Limon"/>
      <sheetName val="Budin grande"/>
      <sheetName val="Budin Pistacho"/>
      <sheetName val="PAN DULCE 5-12"/>
      <sheetName val="1401-PANETONE CON PREMEZCLA"/>
      <sheetName val="1402-PAN DULCE CHIPS x 0,75"/>
      <sheetName val="1403-PAN DULCE CON FRUTAS x0,75"/>
      <sheetName val="Roscas"/>
      <sheetName val="1403-PAN DULCE CON FRUTAS PREM"/>
      <sheetName val="Hoja3"/>
      <sheetName val="Pan Dulce Oreo y chips 27-11"/>
      <sheetName val="1401-P DULCE FRUTAS SEC x 0,5"/>
      <sheetName val="1404- PANETONE"/>
      <sheetName val="1401-P DULCE C-FRUTAS SEC x 0,5"/>
      <sheetName val="1401-PAN DULCE CHIPS x 0,50"/>
      <sheetName val="1404- PANETONE mati"/>
      <sheetName val="1402-PAN DULCE CON CHIPS PREMEZ"/>
      <sheetName val="Pan dulce Ricardo"/>
      <sheetName val="FRUTOS SECOS CALSA"/>
      <sheetName val="Pan Dulce Frutos Secos  27-11"/>
      <sheetName val="OREO Y CHIPS CALSA"/>
      <sheetName val="TODAS LAS FRUTAS CALSA"/>
      <sheetName val="Panettonne Sergio 19-11"/>
      <sheetName val="1401-PAN DULCE 18-11"/>
      <sheetName val="2305-2450-LATA SURTIDO DE GRASA"/>
      <sheetName val="2305-2454-LATA SURTIDO DE GRASA"/>
      <sheetName val="2445-PAN DE LECHE"/>
      <sheetName val="2306-2448-SURTIDO DE MANTE"/>
      <sheetName val="2317-2449-LATA LENGUITA"/>
      <sheetName val="2318-2451-LATA PALITO DE GRASA"/>
      <sheetName val="2319-2320-2455-56-75 HOJALDRE"/>
      <sheetName val="2324-2485-SURTIDO DOBLE MANTECA"/>
      <sheetName val="2405-PAN SIN SAL"/>
      <sheetName val="2424-CREMONAS AKTIVAS (C  CERE "/>
      <sheetName val="2452-SACRAMENTO   VIGILANTE"/>
      <sheetName val="2481-CUADRADITOS CON AKTIVO"/>
      <sheetName val="2409-CHIPS"/>
      <sheetName val="2419-PLANCHA CON CHICHARRON ( 3"/>
      <sheetName val="2420-PLANCHA CON GRASA (3,5 KG)"/>
      <sheetName val="2458-CAÑONCITOS"/>
      <sheetName val="2483-MEDIALUNA MULTIGRANO ( 42 "/>
      <sheetName val="Crema Pistacho"/>
      <sheetName val="Panqueques"/>
      <sheetName val="10001-Masafrola"/>
      <sheetName val="10002-Stroissel"/>
      <sheetName val="10003-Crema de Limon"/>
      <sheetName val="10004-Merengue"/>
      <sheetName val="10005-Bizcochuelo"/>
      <sheetName val="10006-Rogel"/>
      <sheetName val="PBT ROWING"/>
      <sheetName val="Vasitos"/>
      <sheetName val="Hoja1"/>
      <sheetName val="Med Manteca Pre Mezcla"/>
      <sheetName val="Med Manteca pre mezcla 2"/>
      <sheetName val="Box Dia del Padre"/>
      <sheetName val="Box Dia de la madre"/>
      <sheetName val="Presupuesto Adri Paton"/>
      <sheetName val="Hoja2"/>
      <sheetName val="Bay Biscit"/>
      <sheetName val="Huevo de Pascua"/>
      <sheetName val="PAN DE CAMPO MEDIANO"/>
      <sheetName val="MED NUEVA"/>
      <sheetName val="ENSAIMADA"/>
      <sheetName val="Pancho Super Nuevo"/>
      <sheetName val="Torta pedida"/>
      <sheetName val="Torta pedida 2"/>
      <sheetName val="0001-2401-PAN -seba-"/>
      <sheetName val="sAND POLLO Y VERDU"/>
      <sheetName val="Pan De Chocolate"/>
      <sheetName val="Rodarla"/>
      <sheetName val="Pan Semilla Calsa"/>
      <sheetName val="Pan de campo cereales"/>
      <sheetName val="Sand Scon"/>
      <sheetName val="Tostado Crudo"/>
      <sheetName val="Tostado Huevo"/>
      <sheetName val="001- Mignon"/>
      <sheetName val="002-Vigilantes o Lengüit"/>
      <sheetName val="003-Galleta Comun"/>
      <sheetName val="004-Figaza"/>
      <sheetName val="005-Chipa"/>
      <sheetName val="006-Negrito"/>
      <sheetName val="007-Bizcochitos"/>
      <sheetName val="008-Prepizza"/>
      <sheetName val="009-Pan de Papa"/>
      <sheetName val="010-Pan de Molde"/>
      <sheetName val="011-Chocotorta Grande"/>
      <sheetName val="030- Factura de Hojaldre"/>
      <sheetName val="012-Hojaldre"/>
      <sheetName val="013-Palmerita"/>
      <sheetName val="014-Budin"/>
      <sheetName val="015-Sandwich de Miga"/>
      <sheetName val="016-Superpancho"/>
      <sheetName val="017-Saborizados"/>
      <sheetName val="018-Bollitos"/>
      <sheetName val="019-Pan de Pizza"/>
      <sheetName val="020- Pan de Campo"/>
      <sheetName val="021-Lingote Chocotorta"/>
      <sheetName val="022-Chocotorta Oreo"/>
      <sheetName val="023-Lingote Chocotorta Oreo"/>
      <sheetName val="024-Tarta de Manzana"/>
      <sheetName val="025- Tarta Individual Manzana"/>
      <sheetName val="026-Porcion Manzana"/>
      <sheetName val="027-Frutilla Grande"/>
      <sheetName val="028-Porcion Brownie"/>
      <sheetName val="029- Tartas"/>
      <sheetName val="Torta Suiza"/>
      <sheetName val="Matilda"/>
      <sheetName val="Budin Vegano Manzana"/>
      <sheetName val="Budin Vegano f bosque"/>
      <sheetName val="Cheese Cake f.Rojos"/>
      <sheetName val="Budin Banana"/>
      <sheetName val="Facturador de costeo"/>
      <sheetName val="pan de papa c queso"/>
      <sheetName val="0004-2431-Figaza"/>
      <sheetName val="0013-2416-Pan de Campo redondo"/>
    </sheetNames>
    <sheetDataSet>
      <sheetData sheetId="0" refreshError="1">
        <row r="6">
          <cell r="A6" t="str">
            <v>0001</v>
          </cell>
          <cell r="B6" t="str">
            <v>PANES</v>
          </cell>
          <cell r="C6" t="str">
            <v>FRANCES / FRANCES C/ SEMILLAS</v>
          </cell>
          <cell r="D6">
            <v>676.49365277777781</v>
          </cell>
        </row>
        <row r="7">
          <cell r="A7" t="str">
            <v>0002</v>
          </cell>
          <cell r="B7" t="str">
            <v>PANES</v>
          </cell>
          <cell r="C7" t="str">
            <v>FRANCES / FRANCES C/ SEMILLAS X 500GR</v>
          </cell>
          <cell r="D7">
            <v>676.49365277777781</v>
          </cell>
        </row>
        <row r="8">
          <cell r="A8" t="str">
            <v>0003</v>
          </cell>
          <cell r="B8" t="str">
            <v>PANES</v>
          </cell>
          <cell r="C8" t="str">
            <v>PAN PARA BUDIN</v>
          </cell>
          <cell r="D8"/>
        </row>
        <row r="9">
          <cell r="A9" t="str">
            <v>0004</v>
          </cell>
          <cell r="B9" t="str">
            <v>PANES</v>
          </cell>
          <cell r="C9" t="str">
            <v>NEGRITO Y FIGASA</v>
          </cell>
          <cell r="D9">
            <v>981.42340000000002</v>
          </cell>
        </row>
        <row r="10">
          <cell r="A10" t="str">
            <v>0005</v>
          </cell>
          <cell r="B10" t="str">
            <v>PANES</v>
          </cell>
          <cell r="C10" t="str">
            <v>SURTIDO NEGRITO/GALLETA/FIGASA</v>
          </cell>
          <cell r="D10">
            <v>981.42340000000002</v>
          </cell>
        </row>
        <row r="11">
          <cell r="A11" t="str">
            <v>0006</v>
          </cell>
          <cell r="B11" t="str">
            <v>PANES</v>
          </cell>
          <cell r="C11" t="str">
            <v>SABORIZADOS</v>
          </cell>
          <cell r="D11">
            <v>1034.742025</v>
          </cell>
        </row>
        <row r="12">
          <cell r="A12" t="str">
            <v>0007</v>
          </cell>
          <cell r="B12" t="str">
            <v>PANES</v>
          </cell>
          <cell r="C12" t="str">
            <v>BOLLITOS</v>
          </cell>
          <cell r="D12">
            <v>985.90812499999993</v>
          </cell>
        </row>
        <row r="13">
          <cell r="A13" t="str">
            <v>0008</v>
          </cell>
          <cell r="B13" t="str">
            <v>PANES</v>
          </cell>
          <cell r="C13" t="str">
            <v>FELIPE</v>
          </cell>
          <cell r="D13">
            <v>676.49365277777781</v>
          </cell>
        </row>
        <row r="14">
          <cell r="A14" t="str">
            <v>0009</v>
          </cell>
          <cell r="B14" t="str">
            <v>PANES</v>
          </cell>
          <cell r="C14" t="str">
            <v>PAN DE PIZZA</v>
          </cell>
          <cell r="D14">
            <v>819.95008333333328</v>
          </cell>
        </row>
        <row r="15">
          <cell r="A15" t="str">
            <v>0010</v>
          </cell>
          <cell r="B15" t="str">
            <v>PANES</v>
          </cell>
          <cell r="C15" t="str">
            <v>PAN DE MASA MADRE KG</v>
          </cell>
          <cell r="D15">
            <v>2457.6848080808081</v>
          </cell>
        </row>
        <row r="16">
          <cell r="A16" t="str">
            <v>0012</v>
          </cell>
          <cell r="B16" t="str">
            <v>PANES</v>
          </cell>
          <cell r="C16" t="str">
            <v>PAN DE MOLDE CHICO (FETEADO) BLANCO</v>
          </cell>
          <cell r="D16">
            <v>314.04321666666664</v>
          </cell>
        </row>
        <row r="17">
          <cell r="A17" t="str">
            <v>0013</v>
          </cell>
          <cell r="B17" t="str">
            <v>PANES</v>
          </cell>
          <cell r="C17" t="str">
            <v>PAN DE CAMPO X UNIDAD</v>
          </cell>
          <cell r="D17">
            <v>306.67703749999998</v>
          </cell>
        </row>
        <row r="18">
          <cell r="A18" t="str">
            <v>0014</v>
          </cell>
          <cell r="B18" t="str">
            <v>PANES</v>
          </cell>
          <cell r="C18" t="str">
            <v>PAN DE CAMPO ZEPELLING BLANCO</v>
          </cell>
          <cell r="D18">
            <v>1351.7266444444444</v>
          </cell>
        </row>
        <row r="19">
          <cell r="A19" t="str">
            <v>0016</v>
          </cell>
          <cell r="B19" t="str">
            <v>PANES</v>
          </cell>
          <cell r="C19" t="str">
            <v xml:space="preserve">PAN RAYADO </v>
          </cell>
          <cell r="D19"/>
        </row>
        <row r="20">
          <cell r="A20" t="str">
            <v>0017</v>
          </cell>
          <cell r="B20" t="str">
            <v>PANES</v>
          </cell>
          <cell r="C20" t="str">
            <v>PAN DE MOLDE GRANDE BLANCO</v>
          </cell>
          <cell r="D20">
            <v>563.85756249999997</v>
          </cell>
        </row>
        <row r="21">
          <cell r="A21" t="str">
            <v>0018</v>
          </cell>
          <cell r="B21" t="str">
            <v>PANES</v>
          </cell>
          <cell r="C21" t="str">
            <v>NEGRITO</v>
          </cell>
          <cell r="D21">
            <v>981.42340000000002</v>
          </cell>
        </row>
        <row r="22">
          <cell r="A22" t="str">
            <v>0020</v>
          </cell>
          <cell r="B22" t="str">
            <v>PANES</v>
          </cell>
          <cell r="C22" t="str">
            <v>FIGASA</v>
          </cell>
          <cell r="D22">
            <v>981.42340000000002</v>
          </cell>
        </row>
        <row r="23">
          <cell r="A23" t="str">
            <v>0021</v>
          </cell>
          <cell r="B23" t="str">
            <v>PANES</v>
          </cell>
          <cell r="C23" t="str">
            <v>FLAUTA</v>
          </cell>
          <cell r="D23">
            <v>676.49365277777781</v>
          </cell>
        </row>
        <row r="24">
          <cell r="A24" t="str">
            <v>0022</v>
          </cell>
          <cell r="B24" t="str">
            <v>PANES</v>
          </cell>
          <cell r="C24" t="str">
            <v>MIGÑON</v>
          </cell>
          <cell r="D24">
            <v>676.49365277777781</v>
          </cell>
        </row>
        <row r="25">
          <cell r="A25" t="str">
            <v>0023</v>
          </cell>
          <cell r="B25" t="str">
            <v>PANES</v>
          </cell>
          <cell r="C25" t="str">
            <v>BAGUETIN</v>
          </cell>
          <cell r="D25">
            <v>676.49365277777781</v>
          </cell>
        </row>
        <row r="26">
          <cell r="A26" t="str">
            <v>0024</v>
          </cell>
          <cell r="B26" t="str">
            <v>PANES</v>
          </cell>
          <cell r="C26" t="str">
            <v>MILONGA</v>
          </cell>
          <cell r="D26">
            <v>676.49365277777781</v>
          </cell>
        </row>
        <row r="27">
          <cell r="A27" t="str">
            <v>0025</v>
          </cell>
          <cell r="B27" t="str">
            <v>PANES</v>
          </cell>
          <cell r="C27" t="str">
            <v>PAN DE MOLDE CHICO (FETEADO)  NEGRO</v>
          </cell>
          <cell r="D27">
            <v>3232.3794666666668</v>
          </cell>
        </row>
        <row r="28">
          <cell r="A28" t="str">
            <v>0026</v>
          </cell>
          <cell r="B28" t="str">
            <v>PANES</v>
          </cell>
          <cell r="C28" t="str">
            <v>PAN DE MOLDE GRANDE NEGRO</v>
          </cell>
          <cell r="D28">
            <v>6409.2031999999999</v>
          </cell>
        </row>
        <row r="29">
          <cell r="A29" t="str">
            <v>0027</v>
          </cell>
          <cell r="B29" t="str">
            <v>PANES</v>
          </cell>
          <cell r="C29" t="str">
            <v>PAN DE CAMPO ZEPELLING MULTICERAL</v>
          </cell>
          <cell r="D29">
            <v>1351.7266444444444</v>
          </cell>
        </row>
        <row r="30">
          <cell r="A30" t="str">
            <v>0028</v>
          </cell>
          <cell r="B30" t="str">
            <v>PANES</v>
          </cell>
          <cell r="C30" t="str">
            <v>PAN DE MOLDE CHICO BLANCO SIN FETEAR</v>
          </cell>
          <cell r="D30">
            <v>314.04321666666664</v>
          </cell>
        </row>
        <row r="31">
          <cell r="A31" t="str">
            <v>0029</v>
          </cell>
          <cell r="B31" t="str">
            <v>PANES</v>
          </cell>
          <cell r="C31" t="str">
            <v>PAN DE MOLDE CHICO NEGRO SIN FETEAR</v>
          </cell>
          <cell r="D31">
            <v>3232.3794666666668</v>
          </cell>
        </row>
        <row r="32">
          <cell r="A32" t="str">
            <v>0030</v>
          </cell>
          <cell r="B32" t="str">
            <v>PANES</v>
          </cell>
          <cell r="C32" t="str">
            <v>PAN BRIOCHE CON SEMILLAS</v>
          </cell>
          <cell r="D32"/>
        </row>
        <row r="33">
          <cell r="A33" t="str">
            <v>0031</v>
          </cell>
          <cell r="B33" t="str">
            <v>PANES</v>
          </cell>
          <cell r="C33" t="str">
            <v>PAN DE CAMPO LARGO BLANCO</v>
          </cell>
          <cell r="D33">
            <v>1351.7266444444444</v>
          </cell>
        </row>
        <row r="34">
          <cell r="A34" t="str">
            <v>0032</v>
          </cell>
          <cell r="B34" t="str">
            <v>PANES</v>
          </cell>
          <cell r="C34" t="str">
            <v>PAN DE CAMPO LARGO NEGRO</v>
          </cell>
          <cell r="D34">
            <v>1351.7266444444444</v>
          </cell>
        </row>
        <row r="35">
          <cell r="A35" t="str">
            <v>0033</v>
          </cell>
          <cell r="B35" t="str">
            <v>PANES</v>
          </cell>
          <cell r="C35" t="str">
            <v>PAN DE CAMPO CHICO</v>
          </cell>
          <cell r="D35">
            <v>230.00777812499999</v>
          </cell>
        </row>
        <row r="36">
          <cell r="A36" t="str">
            <v>0034</v>
          </cell>
          <cell r="B36" t="str">
            <v>PANES</v>
          </cell>
          <cell r="C36" t="str">
            <v>PAN REDONDO NEGRO GRANDE</v>
          </cell>
          <cell r="D36">
            <v>1689.6583055555557</v>
          </cell>
        </row>
        <row r="37">
          <cell r="A37" t="str">
            <v>0035</v>
          </cell>
          <cell r="B37" t="str">
            <v>PANES</v>
          </cell>
          <cell r="C37" t="str">
            <v>PAN REDONDO BLANCO GRANDE</v>
          </cell>
          <cell r="D37">
            <v>1689.6583055555557</v>
          </cell>
        </row>
        <row r="38">
          <cell r="A38"/>
          <cell r="B38"/>
          <cell r="C38" t="str">
            <v>PAN P/ SANDWICHES</v>
          </cell>
          <cell r="D38"/>
        </row>
        <row r="39">
          <cell r="A39" t="str">
            <v>0101</v>
          </cell>
          <cell r="B39" t="str">
            <v>PAN P/ SANDWICHES</v>
          </cell>
          <cell r="C39" t="str">
            <v>ZAPATILLAS X UNIDAD</v>
          </cell>
          <cell r="D39">
            <v>160.10780555555553</v>
          </cell>
        </row>
        <row r="40">
          <cell r="A40" t="str">
            <v>0102</v>
          </cell>
          <cell r="B40" t="str">
            <v>PAN P/ SANDWICHES</v>
          </cell>
          <cell r="C40" t="str">
            <v>ARABE X UNIDAD</v>
          </cell>
          <cell r="D40">
            <v>44.540285714285709</v>
          </cell>
        </row>
        <row r="41">
          <cell r="A41" t="str">
            <v>0103</v>
          </cell>
          <cell r="B41" t="str">
            <v>PAN P/ SANDWICHES</v>
          </cell>
          <cell r="C41" t="str">
            <v>PEBETE X UNIDAD</v>
          </cell>
          <cell r="D41">
            <v>206.36693333333335</v>
          </cell>
        </row>
        <row r="42">
          <cell r="A42" t="str">
            <v>0104</v>
          </cell>
          <cell r="B42" t="str">
            <v>PAN P/ SANDWICHES</v>
          </cell>
          <cell r="C42" t="str">
            <v>PEBETE X DOCENA</v>
          </cell>
          <cell r="D42">
            <v>2476.4032000000002</v>
          </cell>
        </row>
        <row r="43">
          <cell r="A43" t="str">
            <v>0105</v>
          </cell>
          <cell r="B43" t="str">
            <v>PAN P/ SANDWICHES</v>
          </cell>
          <cell r="C43" t="str">
            <v>SUPER PANCHO X UNIDAD</v>
          </cell>
          <cell r="D43">
            <v>102.71461666666666</v>
          </cell>
        </row>
        <row r="44">
          <cell r="A44" t="str">
            <v>0106</v>
          </cell>
          <cell r="B44" t="str">
            <v>PAN P/ SANDWICHES</v>
          </cell>
          <cell r="C44" t="str">
            <v>SUPER PANCHO X DOCENA</v>
          </cell>
          <cell r="D44">
            <v>1232.5754000000002</v>
          </cell>
        </row>
        <row r="45">
          <cell r="A45" t="str">
            <v>0107</v>
          </cell>
          <cell r="B45" t="str">
            <v>PAN P/ SANDWICHES</v>
          </cell>
          <cell r="C45" t="str">
            <v>SUPER PANCHO X 6</v>
          </cell>
          <cell r="D45">
            <v>616.28770000000009</v>
          </cell>
        </row>
        <row r="46">
          <cell r="A46" t="str">
            <v>0108</v>
          </cell>
          <cell r="B46" t="str">
            <v>PAN P/ SANDWICHES</v>
          </cell>
          <cell r="C46" t="str">
            <v>HAMBURGUESA CHICA X UNIDAD</v>
          </cell>
          <cell r="D46"/>
        </row>
        <row r="47">
          <cell r="A47" t="str">
            <v>0109</v>
          </cell>
          <cell r="B47" t="str">
            <v>PAN P/ SANDWICHES</v>
          </cell>
          <cell r="C47" t="str">
            <v>HAMBURGUESA CHICA CON SEMILLAS</v>
          </cell>
          <cell r="D47">
            <v>1319.7273600000001</v>
          </cell>
        </row>
        <row r="48">
          <cell r="A48" t="str">
            <v>0110</v>
          </cell>
          <cell r="B48" t="str">
            <v>PAN P/ SANDWICHES</v>
          </cell>
          <cell r="C48" t="str">
            <v>HAMBURGUESA CHICA X 6</v>
          </cell>
          <cell r="D48"/>
        </row>
        <row r="49">
          <cell r="A49" t="str">
            <v>0111</v>
          </cell>
          <cell r="B49" t="str">
            <v>PAN P/ SANDWICHES</v>
          </cell>
          <cell r="C49" t="str">
            <v>HAMBURGUESA GRANDE X UNIDAD</v>
          </cell>
          <cell r="D49">
            <v>96.34492250000001</v>
          </cell>
        </row>
        <row r="50">
          <cell r="A50" t="str">
            <v>0112</v>
          </cell>
          <cell r="B50" t="str">
            <v>PAN P/ SANDWICHES</v>
          </cell>
          <cell r="C50" t="str">
            <v>HAMBURGUESA GRANDE X 6</v>
          </cell>
          <cell r="D50">
            <v>578.06953500000009</v>
          </cell>
        </row>
        <row r="51">
          <cell r="A51" t="str">
            <v>0113</v>
          </cell>
          <cell r="B51" t="str">
            <v>PAN P/ SANDWICHES</v>
          </cell>
          <cell r="C51" t="str">
            <v>PANCHO CHICO X UNIDAD</v>
          </cell>
          <cell r="D51">
            <v>34.23820555555556</v>
          </cell>
        </row>
        <row r="52">
          <cell r="A52" t="str">
            <v>0114</v>
          </cell>
          <cell r="B52" t="str">
            <v>PAN P/ SANDWICHES</v>
          </cell>
          <cell r="C52" t="str">
            <v>PANCHO CHICO X 6</v>
          </cell>
          <cell r="D52"/>
        </row>
        <row r="53">
          <cell r="A53" t="str">
            <v>0115</v>
          </cell>
          <cell r="B53" t="str">
            <v>PAN P/ SANDWICHES</v>
          </cell>
          <cell r="C53" t="str">
            <v>PANCHO CHICO X 12</v>
          </cell>
          <cell r="D53">
            <v>410.85846666666669</v>
          </cell>
        </row>
        <row r="54">
          <cell r="A54" t="str">
            <v>0116</v>
          </cell>
          <cell r="B54" t="str">
            <v>PAN P/ SANDWICHES</v>
          </cell>
          <cell r="C54" t="str">
            <v>BAGEL X 2</v>
          </cell>
          <cell r="D54">
            <v>158.65562666666668</v>
          </cell>
        </row>
        <row r="55">
          <cell r="A55" t="str">
            <v>0117</v>
          </cell>
          <cell r="B55" t="str">
            <v>PAN P/ SANDWICHES</v>
          </cell>
          <cell r="C55" t="str">
            <v>PAN DE PAPA C/SEMILLA X UNIDAD</v>
          </cell>
          <cell r="D55">
            <v>295.71677777777774</v>
          </cell>
        </row>
        <row r="56">
          <cell r="A56" t="str">
            <v>0118</v>
          </cell>
          <cell r="B56" t="str">
            <v>PAN P/ SANDWICHES</v>
          </cell>
          <cell r="C56" t="str">
            <v>PAN DE PAPA  C/SEMILLA X 2</v>
          </cell>
          <cell r="D56">
            <v>591.43355555555547</v>
          </cell>
        </row>
        <row r="57">
          <cell r="A57" t="str">
            <v>0119</v>
          </cell>
          <cell r="B57" t="str">
            <v>PAN P/ SANDWICHES</v>
          </cell>
          <cell r="C57" t="str">
            <v>PAN DE PAPA CON SEMILLA X 6</v>
          </cell>
          <cell r="D57">
            <v>1774.3006666666665</v>
          </cell>
        </row>
        <row r="58">
          <cell r="A58" t="str">
            <v>0120</v>
          </cell>
          <cell r="B58" t="str">
            <v>PAN P/ SANDWICHES</v>
          </cell>
          <cell r="C58" t="str">
            <v>PEBETE GRANDE X UNIDAD</v>
          </cell>
          <cell r="D58"/>
        </row>
        <row r="59">
          <cell r="A59" t="str">
            <v>0121</v>
          </cell>
          <cell r="B59" t="str">
            <v>PAN P/ SANDWICHES</v>
          </cell>
          <cell r="C59" t="str">
            <v>PEBETE GRANDE X DOCENA</v>
          </cell>
          <cell r="D59"/>
        </row>
        <row r="60">
          <cell r="A60" t="str">
            <v>0122</v>
          </cell>
          <cell r="B60" t="str">
            <v>PAN P/ SANDWICHES</v>
          </cell>
          <cell r="C60" t="str">
            <v>PAN DE PAPA X UNIDAD CON QUESO</v>
          </cell>
          <cell r="D60">
            <v>414.12902222222226</v>
          </cell>
        </row>
        <row r="61">
          <cell r="A61" t="str">
            <v>0123</v>
          </cell>
          <cell r="B61" t="str">
            <v>PAN P/ SANDWICHES</v>
          </cell>
          <cell r="C61" t="str">
            <v>PAN DE PAPA CON QUESO X 2</v>
          </cell>
          <cell r="D61">
            <v>828.25804444444452</v>
          </cell>
        </row>
        <row r="62">
          <cell r="A62" t="str">
            <v>0124</v>
          </cell>
          <cell r="B62" t="str">
            <v>PAN P/ SANDWICHES</v>
          </cell>
          <cell r="C62" t="str">
            <v>PAN DE PAPA CON QUESO X 9</v>
          </cell>
          <cell r="D62">
            <v>3727.1612000000005</v>
          </cell>
        </row>
        <row r="63">
          <cell r="A63" t="str">
            <v>0125</v>
          </cell>
          <cell r="B63" t="str">
            <v>PAN P/ SANDWICHES</v>
          </cell>
          <cell r="C63" t="str">
            <v xml:space="preserve">ZAPATILLAS X UNIDAD 22 cm </v>
          </cell>
          <cell r="D63">
            <v>180.12128124999998</v>
          </cell>
        </row>
        <row r="64">
          <cell r="A64"/>
          <cell r="B64"/>
          <cell r="C64" t="str">
            <v>ESPECIALES</v>
          </cell>
          <cell r="D64"/>
        </row>
        <row r="65">
          <cell r="A65" t="str">
            <v>0201</v>
          </cell>
          <cell r="B65" t="str">
            <v>ESPECIALES</v>
          </cell>
          <cell r="C65" t="str">
            <v>CROISSANT X UNIDAD</v>
          </cell>
          <cell r="D65">
            <v>240.8166888888889</v>
          </cell>
        </row>
        <row r="66">
          <cell r="A66" t="str">
            <v>0202</v>
          </cell>
          <cell r="B66" t="str">
            <v>ESPECIALES</v>
          </cell>
          <cell r="C66" t="str">
            <v>CROISSANT X  2</v>
          </cell>
          <cell r="D66">
            <v>481.63337777777781</v>
          </cell>
        </row>
        <row r="67">
          <cell r="A67" t="str">
            <v>0203</v>
          </cell>
          <cell r="B67" t="str">
            <v>ESPECIALES</v>
          </cell>
          <cell r="C67" t="str">
            <v>MINI CHIPA</v>
          </cell>
          <cell r="D67">
            <v>126.5327925925926</v>
          </cell>
        </row>
        <row r="68">
          <cell r="A68" t="str">
            <v>0204</v>
          </cell>
          <cell r="B68" t="str">
            <v>ESPECIALES</v>
          </cell>
          <cell r="C68" t="str">
            <v>CHIPA  X UNIDAD</v>
          </cell>
          <cell r="D68">
            <v>253.0655851851852</v>
          </cell>
        </row>
        <row r="69">
          <cell r="A69" t="str">
            <v>0205</v>
          </cell>
          <cell r="B69" t="str">
            <v>ESPECIALES</v>
          </cell>
          <cell r="C69" t="str">
            <v>CHIPA  X 6</v>
          </cell>
          <cell r="D69">
            <v>1518.3935111111111</v>
          </cell>
        </row>
        <row r="70">
          <cell r="A70" t="str">
            <v>0206</v>
          </cell>
          <cell r="B70" t="str">
            <v>ESPECIALES</v>
          </cell>
          <cell r="C70" t="str">
            <v xml:space="preserve">BIZCOCHO/CUERNITO DE GRASA </v>
          </cell>
          <cell r="D70">
            <v>717.8843733333332</v>
          </cell>
        </row>
        <row r="71">
          <cell r="A71" t="str">
            <v>0207</v>
          </cell>
          <cell r="B71" t="str">
            <v>ESPECIALES</v>
          </cell>
          <cell r="C71" t="str">
            <v>BIZCOCHO/CUERNITO DE GRASA  X 1/4</v>
          </cell>
          <cell r="D71">
            <v>179.4710933333333</v>
          </cell>
        </row>
        <row r="72">
          <cell r="A72" t="str">
            <v>0208</v>
          </cell>
          <cell r="B72" t="str">
            <v>ESPECIALES</v>
          </cell>
          <cell r="C72" t="str">
            <v>BIZCOCHO DE QUESO</v>
          </cell>
          <cell r="D72">
            <v>717.8843733333332</v>
          </cell>
        </row>
        <row r="73">
          <cell r="A73" t="str">
            <v>0209</v>
          </cell>
          <cell r="B73" t="str">
            <v>ESPECIALES</v>
          </cell>
          <cell r="C73" t="str">
            <v>BIZCOCHO DE QUESO X 1/4</v>
          </cell>
          <cell r="D73">
            <v>179.4710933333333</v>
          </cell>
        </row>
        <row r="74">
          <cell r="A74" t="str">
            <v>0210</v>
          </cell>
          <cell r="B74" t="str">
            <v>ESPECIALES</v>
          </cell>
          <cell r="C74" t="str">
            <v>GALLETA DE GRASA</v>
          </cell>
          <cell r="D74">
            <v>350.56453636363636</v>
          </cell>
        </row>
        <row r="75">
          <cell r="A75" t="str">
            <v>0211</v>
          </cell>
          <cell r="B75" t="str">
            <v>ESPECIALES</v>
          </cell>
          <cell r="C75" t="str">
            <v>GALLETA DE GRASA X 1/4</v>
          </cell>
          <cell r="D75">
            <v>87.641134090909091</v>
          </cell>
        </row>
        <row r="76">
          <cell r="A76" t="str">
            <v>0212</v>
          </cell>
          <cell r="B76" t="str">
            <v>ESPECIALES</v>
          </cell>
          <cell r="C76" t="str">
            <v>FOCACCIA X UN</v>
          </cell>
          <cell r="D76">
            <v>1651.8170666666667</v>
          </cell>
        </row>
        <row r="77">
          <cell r="A77" t="str">
            <v>0214</v>
          </cell>
          <cell r="B77" t="str">
            <v>ESPECIALES</v>
          </cell>
          <cell r="C77" t="str">
            <v>GALLETA DE CHICHARRON X 1/4</v>
          </cell>
          <cell r="D77">
            <v>252.810495</v>
          </cell>
        </row>
        <row r="78">
          <cell r="A78" t="str">
            <v>0215</v>
          </cell>
          <cell r="B78" t="str">
            <v>ESPECIALES</v>
          </cell>
          <cell r="C78" t="str">
            <v>TALITAS KG</v>
          </cell>
          <cell r="D78">
            <v>3197.1047500000004</v>
          </cell>
        </row>
        <row r="79">
          <cell r="A79" t="str">
            <v>0216</v>
          </cell>
          <cell r="B79" t="str">
            <v>ESPECIALES</v>
          </cell>
          <cell r="C79" t="str">
            <v>MARINERAS / MEXICANITOS/GRISINES X 1/4</v>
          </cell>
          <cell r="D79">
            <v>799.27618750000011</v>
          </cell>
        </row>
        <row r="80">
          <cell r="A80" t="str">
            <v>0217</v>
          </cell>
          <cell r="B80" t="str">
            <v>ESPECIALES</v>
          </cell>
          <cell r="C80" t="str">
            <v>PAN DE MIGA</v>
          </cell>
          <cell r="D80"/>
        </row>
        <row r="81">
          <cell r="A81" t="str">
            <v>0218</v>
          </cell>
          <cell r="B81" t="str">
            <v>ESPECIALES</v>
          </cell>
          <cell r="C81" t="str">
            <v>TORTA FRITA X UNIDAD</v>
          </cell>
          <cell r="D81">
            <v>40.065674999999999</v>
          </cell>
        </row>
        <row r="82">
          <cell r="A82" t="str">
            <v>0219</v>
          </cell>
          <cell r="B82" t="str">
            <v>ESPECIALES</v>
          </cell>
          <cell r="C82" t="str">
            <v>TORTA FRITA X 2</v>
          </cell>
          <cell r="D82">
            <v>80.131349999999998</v>
          </cell>
        </row>
        <row r="83">
          <cell r="A83" t="str">
            <v>0220</v>
          </cell>
          <cell r="B83" t="str">
            <v>ESPECIALES</v>
          </cell>
          <cell r="C83" t="str">
            <v>TORTA FRITA X 6</v>
          </cell>
          <cell r="D83">
            <v>240.39404999999999</v>
          </cell>
        </row>
        <row r="84">
          <cell r="A84" t="str">
            <v>0221</v>
          </cell>
          <cell r="B84" t="str">
            <v>ESPECIALES</v>
          </cell>
          <cell r="C84" t="str">
            <v>TORTA FRITA X 12</v>
          </cell>
          <cell r="D84">
            <v>480.78809999999999</v>
          </cell>
        </row>
        <row r="85">
          <cell r="A85" t="str">
            <v>0222</v>
          </cell>
          <cell r="B85" t="str">
            <v>ESPECIALES</v>
          </cell>
          <cell r="C85" t="str">
            <v>ROSCA DE PASCUA X UNI</v>
          </cell>
          <cell r="D85"/>
        </row>
        <row r="86">
          <cell r="A86" t="str">
            <v>0223</v>
          </cell>
          <cell r="B86" t="str">
            <v>ESPECIALES</v>
          </cell>
          <cell r="C86" t="str">
            <v>GALLETA DE GRASA C/QUESO X KG</v>
          </cell>
          <cell r="D86">
            <v>1034.2062000000001</v>
          </cell>
        </row>
        <row r="87">
          <cell r="A87" t="str">
            <v>0224</v>
          </cell>
          <cell r="B87" t="str">
            <v>ESPECIALES</v>
          </cell>
          <cell r="C87" t="str">
            <v>TRENSAS X UN</v>
          </cell>
          <cell r="D87">
            <v>506.75131249999998</v>
          </cell>
        </row>
        <row r="88">
          <cell r="A88" t="str">
            <v>0225</v>
          </cell>
          <cell r="B88" t="str">
            <v>ESPECIALES</v>
          </cell>
          <cell r="C88" t="str">
            <v>CROISSANT X UNIDAD JAMON Y QUESO</v>
          </cell>
          <cell r="D88"/>
        </row>
        <row r="89">
          <cell r="A89" t="str">
            <v>0226</v>
          </cell>
          <cell r="B89" t="str">
            <v>ESPECIALES</v>
          </cell>
          <cell r="C89" t="str">
            <v>GALLETA DE GRASA CON CHICHARRON</v>
          </cell>
          <cell r="D89">
            <v>1011.24198</v>
          </cell>
        </row>
        <row r="90">
          <cell r="A90" t="str">
            <v>0227</v>
          </cell>
          <cell r="B90" t="str">
            <v>ESPECIALES</v>
          </cell>
          <cell r="C90" t="str">
            <v>PAN DE LECHEX UNIDAD</v>
          </cell>
          <cell r="D90">
            <v>612.68264999999997</v>
          </cell>
        </row>
        <row r="91">
          <cell r="A91" t="str">
            <v>0228</v>
          </cell>
          <cell r="B91" t="str">
            <v>ESPECIALES</v>
          </cell>
          <cell r="C91" t="str">
            <v>ROSCA DE ALMENDRA X UNIDAD</v>
          </cell>
          <cell r="D91"/>
        </row>
        <row r="92">
          <cell r="A92" t="str">
            <v>0229</v>
          </cell>
          <cell r="B92" t="str">
            <v>ESPECIALES</v>
          </cell>
          <cell r="C92" t="str">
            <v>CUERNITOS DE GRASA X KG</v>
          </cell>
          <cell r="D92">
            <v>961.45228571428561</v>
          </cell>
        </row>
        <row r="93">
          <cell r="A93" t="str">
            <v>0230</v>
          </cell>
          <cell r="B93" t="str">
            <v>ESPECIALES</v>
          </cell>
          <cell r="C93" t="str">
            <v>CUERNITOS DE GRASA X 1/4</v>
          </cell>
          <cell r="D93">
            <v>240.3630714285714</v>
          </cell>
        </row>
        <row r="94">
          <cell r="A94" t="str">
            <v>0231</v>
          </cell>
          <cell r="B94" t="str">
            <v>ESPECIALES</v>
          </cell>
          <cell r="C94" t="str">
            <v>GRISINES KG</v>
          </cell>
          <cell r="D94">
            <v>990.05079999999998</v>
          </cell>
        </row>
        <row r="95">
          <cell r="A95" t="str">
            <v>0232</v>
          </cell>
          <cell r="B95" t="str">
            <v>ESPECIALES</v>
          </cell>
          <cell r="C95" t="str">
            <v>MEXICANITOS KG</v>
          </cell>
          <cell r="D95">
            <v>0</v>
          </cell>
        </row>
        <row r="96">
          <cell r="A96" t="str">
            <v>0233</v>
          </cell>
          <cell r="B96" t="str">
            <v>ESPECIALES</v>
          </cell>
          <cell r="C96" t="str">
            <v>GRISINES/TALITAS/MEXICANITOS</v>
          </cell>
          <cell r="D96"/>
        </row>
        <row r="97">
          <cell r="A97" t="str">
            <v>0234</v>
          </cell>
          <cell r="B97" t="str">
            <v>ESPECIALES</v>
          </cell>
          <cell r="C97" t="str">
            <v>GRISIN LARGO</v>
          </cell>
          <cell r="D97">
            <v>990.05079999999998</v>
          </cell>
        </row>
        <row r="98">
          <cell r="A98"/>
          <cell r="B98"/>
          <cell r="C98" t="str">
            <v>CREMONAS</v>
          </cell>
          <cell r="D98"/>
        </row>
        <row r="99">
          <cell r="A99" t="str">
            <v>0301</v>
          </cell>
          <cell r="B99" t="str">
            <v>CREMONAS</v>
          </cell>
          <cell r="C99" t="str">
            <v>CREMONA CHICA X UNIDAD</v>
          </cell>
          <cell r="D99">
            <v>124.48455619047618</v>
          </cell>
        </row>
        <row r="100">
          <cell r="A100" t="str">
            <v>0304</v>
          </cell>
          <cell r="B100" t="str">
            <v>CREMONAS</v>
          </cell>
          <cell r="C100" t="str">
            <v>CREMONA SOLA</v>
          </cell>
          <cell r="D100">
            <v>905.23702666666657</v>
          </cell>
        </row>
        <row r="101">
          <cell r="A101" t="str">
            <v>0305</v>
          </cell>
          <cell r="B101" t="str">
            <v>CREMONAS</v>
          </cell>
          <cell r="C101" t="str">
            <v>CREMONA DULCE</v>
          </cell>
          <cell r="D101">
            <v>946.97902666666653</v>
          </cell>
        </row>
        <row r="102">
          <cell r="A102" t="str">
            <v>0306</v>
          </cell>
          <cell r="B102" t="str">
            <v>CREMONAS</v>
          </cell>
          <cell r="C102" t="str">
            <v>CREMONA CHICHA</v>
          </cell>
          <cell r="D102">
            <v>1065.2370266666667</v>
          </cell>
        </row>
        <row r="103">
          <cell r="A103" t="str">
            <v>0307</v>
          </cell>
          <cell r="B103" t="str">
            <v>CREMONAS</v>
          </cell>
          <cell r="C103" t="str">
            <v>CREMONA DE JAMON Y QUESO</v>
          </cell>
          <cell r="D103">
            <v>1068.6976933333333</v>
          </cell>
        </row>
        <row r="104">
          <cell r="A104"/>
          <cell r="B104"/>
          <cell r="C104" t="str">
            <v>PREPIZZA</v>
          </cell>
          <cell r="D104"/>
        </row>
        <row r="105">
          <cell r="A105" t="str">
            <v>0401</v>
          </cell>
          <cell r="B105" t="str">
            <v>PREPIZZA</v>
          </cell>
          <cell r="C105" t="str">
            <v>PREPIZZA TOMATE</v>
          </cell>
          <cell r="D105">
            <v>349.74575999999996</v>
          </cell>
        </row>
        <row r="106">
          <cell r="A106" t="str">
            <v>0402</v>
          </cell>
          <cell r="B106" t="str">
            <v>PREPIZZA</v>
          </cell>
          <cell r="C106" t="str">
            <v>PREPIZZA TOMATE X2</v>
          </cell>
          <cell r="D106">
            <v>699.49151999999992</v>
          </cell>
        </row>
        <row r="107">
          <cell r="A107" t="str">
            <v>0403</v>
          </cell>
          <cell r="B107" t="str">
            <v>PREPIZZA</v>
          </cell>
          <cell r="C107" t="str">
            <v xml:space="preserve">PREPIZZA CEBOLLA </v>
          </cell>
          <cell r="D107">
            <v>408.57423157894732</v>
          </cell>
        </row>
        <row r="108">
          <cell r="A108" t="str">
            <v>0404</v>
          </cell>
          <cell r="B108" t="str">
            <v>PREPIZZA</v>
          </cell>
          <cell r="C108" t="str">
            <v>PREPIZZA CEBOLLA X2</v>
          </cell>
          <cell r="D108">
            <v>817.14846315789464</v>
          </cell>
        </row>
        <row r="109">
          <cell r="A109" t="str">
            <v>0405</v>
          </cell>
          <cell r="B109" t="str">
            <v>PREPIZZA</v>
          </cell>
          <cell r="C109" t="str">
            <v>PREPIZZA INDIVIDUAL</v>
          </cell>
          <cell r="D109">
            <v>174.37149333333335</v>
          </cell>
        </row>
        <row r="110">
          <cell r="A110" t="str">
            <v>0406</v>
          </cell>
          <cell r="B110" t="str">
            <v>PREPIZZA</v>
          </cell>
          <cell r="C110" t="str">
            <v>PREPIZZA INDIVIDUAL X2</v>
          </cell>
          <cell r="D110">
            <v>348.7429866666667</v>
          </cell>
        </row>
        <row r="111">
          <cell r="A111" t="str">
            <v>0407</v>
          </cell>
          <cell r="B111" t="str">
            <v>PREPIZZA</v>
          </cell>
          <cell r="C111" t="str">
            <v>PREPIZZA SALVADO</v>
          </cell>
          <cell r="D111">
            <v>210.89080000000001</v>
          </cell>
        </row>
        <row r="112">
          <cell r="A112" t="str">
            <v>0408</v>
          </cell>
          <cell r="B112" t="str">
            <v>PREPIZZA</v>
          </cell>
          <cell r="C112" t="str">
            <v>PIZZETA X 12 UNID.</v>
          </cell>
          <cell r="D112">
            <v>537.18919999999991</v>
          </cell>
        </row>
        <row r="113">
          <cell r="A113" t="str">
            <v>0409</v>
          </cell>
          <cell r="B113" t="str">
            <v>PREPIZZA</v>
          </cell>
          <cell r="C113" t="str">
            <v>PREPIZZA MIXTA</v>
          </cell>
          <cell r="D113">
            <v>379.15999578947367</v>
          </cell>
        </row>
        <row r="114">
          <cell r="A114" t="str">
            <v>0410</v>
          </cell>
          <cell r="B114" t="str">
            <v>PREPIZZA</v>
          </cell>
          <cell r="C114" t="str">
            <v>PREPIZZA MIXTA X 2</v>
          </cell>
          <cell r="D114">
            <v>758.31999157894734</v>
          </cell>
        </row>
        <row r="115">
          <cell r="A115" t="str">
            <v>0411</v>
          </cell>
          <cell r="B115" t="str">
            <v>PREPIZZA</v>
          </cell>
          <cell r="C115" t="str">
            <v>PLANCHA DE PIZZA</v>
          </cell>
          <cell r="D115">
            <v>702.57028571428566</v>
          </cell>
        </row>
        <row r="116">
          <cell r="A116"/>
          <cell r="B116"/>
          <cell r="C116" t="str">
            <v>FACTURAS</v>
          </cell>
          <cell r="D116"/>
        </row>
        <row r="117">
          <cell r="A117" t="str">
            <v>0501</v>
          </cell>
          <cell r="B117" t="str">
            <v>FACTURAS</v>
          </cell>
          <cell r="C117" t="str">
            <v>SACRAMENTOS</v>
          </cell>
          <cell r="D117">
            <v>2214.4689743589743</v>
          </cell>
        </row>
        <row r="118">
          <cell r="A118" t="str">
            <v>0502</v>
          </cell>
          <cell r="B118" t="str">
            <v>FACTURAS</v>
          </cell>
          <cell r="C118" t="str">
            <v>FACTURAS DOCENA</v>
          </cell>
          <cell r="D118"/>
        </row>
        <row r="119">
          <cell r="A119" t="str">
            <v>0503</v>
          </cell>
          <cell r="B119" t="str">
            <v>FACTURAS</v>
          </cell>
          <cell r="C119" t="str">
            <v>1/2 DOCENA</v>
          </cell>
          <cell r="D119"/>
        </row>
        <row r="120">
          <cell r="A120" t="str">
            <v>0504</v>
          </cell>
          <cell r="B120" t="str">
            <v>FACTURAS</v>
          </cell>
          <cell r="C120" t="str">
            <v>FACTURAS X 1</v>
          </cell>
          <cell r="D120"/>
        </row>
        <row r="121">
          <cell r="A121" t="str">
            <v>0505</v>
          </cell>
          <cell r="B121" t="str">
            <v>FACTURAS</v>
          </cell>
          <cell r="C121" t="str">
            <v>FACTURAS X 2</v>
          </cell>
          <cell r="D121"/>
        </row>
        <row r="122">
          <cell r="A122" t="str">
            <v>0506</v>
          </cell>
          <cell r="B122" t="str">
            <v>FACTURAS</v>
          </cell>
          <cell r="C122" t="str">
            <v>FACTURAS X 3</v>
          </cell>
          <cell r="D122"/>
        </row>
        <row r="123">
          <cell r="A123" t="str">
            <v>0507</v>
          </cell>
          <cell r="B123" t="str">
            <v>FACTURAS</v>
          </cell>
          <cell r="C123" t="str">
            <v>FACTURAS X 4</v>
          </cell>
          <cell r="D123"/>
        </row>
        <row r="124">
          <cell r="A124" t="str">
            <v>0508</v>
          </cell>
          <cell r="B124" t="str">
            <v>FACTURAS</v>
          </cell>
          <cell r="C124" t="str">
            <v>FACTURAS X 5</v>
          </cell>
          <cell r="D124"/>
        </row>
        <row r="125">
          <cell r="A125" t="str">
            <v>0509</v>
          </cell>
          <cell r="B125" t="str">
            <v>FACTURAS</v>
          </cell>
          <cell r="C125" t="str">
            <v>FACTURAS X 6</v>
          </cell>
          <cell r="D125"/>
        </row>
        <row r="126">
          <cell r="A126" t="str">
            <v>0510</v>
          </cell>
          <cell r="B126" t="str">
            <v>FACTURAS</v>
          </cell>
          <cell r="C126" t="str">
            <v>FACTURAS X 7</v>
          </cell>
          <cell r="D126"/>
        </row>
        <row r="127">
          <cell r="A127" t="str">
            <v>0511</v>
          </cell>
          <cell r="B127" t="str">
            <v>FACTURAS</v>
          </cell>
          <cell r="C127" t="str">
            <v>FACTURAS X 8</v>
          </cell>
          <cell r="D127"/>
        </row>
        <row r="128">
          <cell r="A128" t="str">
            <v>0512</v>
          </cell>
          <cell r="B128" t="str">
            <v>FACTURAS</v>
          </cell>
          <cell r="C128" t="str">
            <v>FACTURAS X 9</v>
          </cell>
          <cell r="D128"/>
        </row>
        <row r="129">
          <cell r="A129" t="str">
            <v>0513</v>
          </cell>
          <cell r="B129" t="str">
            <v>FACTURAS</v>
          </cell>
          <cell r="C129" t="str">
            <v>FACTURAS X 10</v>
          </cell>
          <cell r="D129"/>
        </row>
        <row r="130">
          <cell r="A130" t="str">
            <v>0514</v>
          </cell>
          <cell r="B130" t="str">
            <v>FACTURAS</v>
          </cell>
          <cell r="C130" t="str">
            <v>FACTURAS X 11</v>
          </cell>
          <cell r="D130"/>
        </row>
        <row r="131">
          <cell r="A131" t="str">
            <v>0515</v>
          </cell>
          <cell r="B131" t="str">
            <v>CONGELADOS</v>
          </cell>
          <cell r="C131" t="str">
            <v>MED CONGLADAS X 12</v>
          </cell>
          <cell r="D131">
            <v>157.5</v>
          </cell>
        </row>
        <row r="132">
          <cell r="A132" t="str">
            <v>0516</v>
          </cell>
          <cell r="B132" t="str">
            <v>FACTURAS</v>
          </cell>
          <cell r="C132" t="str">
            <v>DOCENA TORTITA NEGRA</v>
          </cell>
          <cell r="D132">
            <v>681.50874629629629</v>
          </cell>
        </row>
        <row r="133">
          <cell r="A133" t="str">
            <v>0517</v>
          </cell>
          <cell r="B133" t="str">
            <v>CONGELADOS</v>
          </cell>
          <cell r="C133" t="str">
            <v>MED CONGLADAS X LATA (3,5 DOCENAS)</v>
          </cell>
          <cell r="D133">
            <v>551.25</v>
          </cell>
        </row>
        <row r="134">
          <cell r="A134" t="str">
            <v>0519</v>
          </cell>
          <cell r="B134" t="str">
            <v>FACTURAS</v>
          </cell>
          <cell r="C134" t="str">
            <v>BOLAS DE FRAILE</v>
          </cell>
          <cell r="D134">
            <v>878.63666550925927</v>
          </cell>
        </row>
        <row r="135">
          <cell r="A135" t="str">
            <v>0520</v>
          </cell>
          <cell r="B135" t="str">
            <v>FACTURAS</v>
          </cell>
          <cell r="C135" t="str">
            <v>DONAS</v>
          </cell>
          <cell r="D135">
            <v>1362.522207175926</v>
          </cell>
        </row>
        <row r="136">
          <cell r="A136" t="str">
            <v>0521</v>
          </cell>
          <cell r="B136" t="str">
            <v>FACTURAS</v>
          </cell>
          <cell r="C136" t="str">
            <v>FACTURAS VIENESAS</v>
          </cell>
          <cell r="D136">
            <v>229.46635884954978</v>
          </cell>
        </row>
        <row r="137">
          <cell r="A137"/>
          <cell r="B137"/>
          <cell r="C137" t="str">
            <v xml:space="preserve">SANDWICH </v>
          </cell>
          <cell r="D137"/>
        </row>
        <row r="138">
          <cell r="A138" t="str">
            <v>0601</v>
          </cell>
          <cell r="B138" t="str">
            <v xml:space="preserve">SANDWICH </v>
          </cell>
          <cell r="C138" t="str">
            <v>SANDWICH MIGA X 4 J Y Q</v>
          </cell>
          <cell r="D138">
            <v>1985.9264121510676</v>
          </cell>
        </row>
        <row r="139">
          <cell r="A139" t="str">
            <v>0603</v>
          </cell>
          <cell r="B139" t="str">
            <v xml:space="preserve">SANDWICH </v>
          </cell>
          <cell r="C139" t="str">
            <v>PBT J Y Q/  S Y Q</v>
          </cell>
          <cell r="D139">
            <v>1118.9421833333333</v>
          </cell>
        </row>
        <row r="140">
          <cell r="A140" t="str">
            <v>0604</v>
          </cell>
          <cell r="B140" t="str">
            <v xml:space="preserve">SANDWICH </v>
          </cell>
          <cell r="C140" t="str">
            <v>SAND MIGA J Y Q X 12 UN</v>
          </cell>
          <cell r="D140">
            <v>5957.7792364532024</v>
          </cell>
        </row>
        <row r="141">
          <cell r="A141" t="str">
            <v>0605</v>
          </cell>
          <cell r="B141" t="str">
            <v xml:space="preserve">SANDWICH </v>
          </cell>
          <cell r="C141" t="str">
            <v>PAQUETE X 2 J Y Q</v>
          </cell>
          <cell r="D141"/>
        </row>
        <row r="142">
          <cell r="A142" t="str">
            <v>0606</v>
          </cell>
          <cell r="B142" t="str">
            <v xml:space="preserve">SANDWICH </v>
          </cell>
          <cell r="C142" t="str">
            <v>SAND MIGA SURTIDO X 1 UN</v>
          </cell>
          <cell r="D142"/>
        </row>
        <row r="143">
          <cell r="A143" t="str">
            <v>0607</v>
          </cell>
          <cell r="B143" t="str">
            <v xml:space="preserve">SANDWICH </v>
          </cell>
          <cell r="C143" t="str">
            <v>SAND MIGA SURTIDO X 12 UN</v>
          </cell>
          <cell r="D143"/>
        </row>
        <row r="144">
          <cell r="A144" t="str">
            <v>0608</v>
          </cell>
          <cell r="B144" t="str">
            <v xml:space="preserve">SANDWICH </v>
          </cell>
          <cell r="C144" t="str">
            <v>CIABATA</v>
          </cell>
          <cell r="D144">
            <v>100.22660416666666</v>
          </cell>
        </row>
        <row r="145">
          <cell r="A145" t="str">
            <v>0609</v>
          </cell>
          <cell r="B145" t="str">
            <v xml:space="preserve">SANDWICH </v>
          </cell>
          <cell r="C145" t="str">
            <v>BEAGLE</v>
          </cell>
          <cell r="D145"/>
        </row>
        <row r="146">
          <cell r="A146" t="str">
            <v>0610</v>
          </cell>
          <cell r="B146" t="str">
            <v xml:space="preserve">SANDWICH </v>
          </cell>
          <cell r="C146" t="str">
            <v>MILANESA O POLLO</v>
          </cell>
          <cell r="D146"/>
        </row>
        <row r="147">
          <cell r="A147" t="str">
            <v>0611</v>
          </cell>
          <cell r="B147" t="str">
            <v xml:space="preserve">SANDWICH </v>
          </cell>
          <cell r="C147" t="str">
            <v>BAGUETIN J Y QUESO</v>
          </cell>
          <cell r="D147">
            <v>674.00839999999994</v>
          </cell>
        </row>
        <row r="148">
          <cell r="A148" t="str">
            <v>0612</v>
          </cell>
          <cell r="B148" t="str">
            <v xml:space="preserve">SANDWICH </v>
          </cell>
          <cell r="C148" t="str">
            <v>BAGUETIN CRUDO Y QUESO</v>
          </cell>
          <cell r="D148">
            <v>674.00839999999994</v>
          </cell>
        </row>
        <row r="149">
          <cell r="A149" t="str">
            <v>0613</v>
          </cell>
          <cell r="B149" t="str">
            <v xml:space="preserve">SANDWICH </v>
          </cell>
          <cell r="C149" t="str">
            <v>SANDWICH PAN NEGRO ( J Y QUESO LECHUGA Y TOMATE</v>
          </cell>
          <cell r="D149">
            <v>1274.3029111111111</v>
          </cell>
        </row>
        <row r="150">
          <cell r="A150" t="str">
            <v>0614</v>
          </cell>
          <cell r="B150" t="str">
            <v xml:space="preserve">SANDWICH </v>
          </cell>
          <cell r="C150" t="str">
            <v>SANDWICH DE PAN NEGRO SALAME LECHUGA Y TOMATE</v>
          </cell>
          <cell r="D150">
            <v>705.09171111111118</v>
          </cell>
        </row>
        <row r="151">
          <cell r="A151" t="str">
            <v>0615</v>
          </cell>
          <cell r="B151" t="str">
            <v xml:space="preserve">SANDWICH </v>
          </cell>
          <cell r="C151" t="str">
            <v>SAND PAN NEGRO CRUDO LECHUGA Y TOMATE</v>
          </cell>
          <cell r="D151">
            <v>668.59479999999996</v>
          </cell>
        </row>
        <row r="152">
          <cell r="A152" t="str">
            <v>0616</v>
          </cell>
          <cell r="B152" t="str">
            <v xml:space="preserve">SANDWICH </v>
          </cell>
          <cell r="C152" t="str">
            <v>SAND POLLO QUESO BRIE Y RUCULA</v>
          </cell>
          <cell r="D152">
            <v>662.96071666666671</v>
          </cell>
        </row>
        <row r="153">
          <cell r="A153" t="str">
            <v>0617</v>
          </cell>
          <cell r="B153" t="str">
            <v xml:space="preserve">SANDWICH </v>
          </cell>
          <cell r="C153" t="str">
            <v>BANDEJAS X 5 SACRAMENTOS</v>
          </cell>
          <cell r="D153"/>
        </row>
        <row r="154">
          <cell r="A154" t="str">
            <v>0618</v>
          </cell>
          <cell r="B154" t="str">
            <v xml:space="preserve">SANDWICH </v>
          </cell>
          <cell r="C154" t="str">
            <v>docena med con jamon y ques</v>
          </cell>
          <cell r="D154"/>
        </row>
        <row r="155">
          <cell r="A155" t="str">
            <v>0619</v>
          </cell>
          <cell r="B155" t="str">
            <v xml:space="preserve">SANDWICH </v>
          </cell>
          <cell r="C155" t="str">
            <v>bandeja x 4 sacramentos crudo, rucula queso</v>
          </cell>
          <cell r="D155"/>
        </row>
        <row r="156">
          <cell r="A156" t="str">
            <v>0620</v>
          </cell>
          <cell r="B156" t="str">
            <v xml:space="preserve">SANDWICH </v>
          </cell>
          <cell r="C156" t="str">
            <v>ESPECIALES (POLLO Y RUCULA/CRUDO Y QUESOS/OTROS)</v>
          </cell>
          <cell r="D156"/>
        </row>
        <row r="157">
          <cell r="A157" t="str">
            <v>0621</v>
          </cell>
          <cell r="B157" t="str">
            <v xml:space="preserve">SANDWICH </v>
          </cell>
          <cell r="C157" t="str">
            <v>CROISSANT CON JAMON Y QUESO</v>
          </cell>
          <cell r="D157"/>
        </row>
        <row r="158">
          <cell r="A158" t="str">
            <v>0622</v>
          </cell>
          <cell r="B158" t="str">
            <v xml:space="preserve">SANDWICH </v>
          </cell>
          <cell r="C158" t="str">
            <v>SANDWICH DE MILANESA DE BERENJENA</v>
          </cell>
          <cell r="D158"/>
        </row>
        <row r="159">
          <cell r="A159" t="str">
            <v>0623</v>
          </cell>
          <cell r="B159" t="str">
            <v xml:space="preserve">SANDWICH </v>
          </cell>
          <cell r="C159" t="str">
            <v>SANDWICH MILANESA DE CARNE</v>
          </cell>
          <cell r="D159"/>
        </row>
        <row r="160">
          <cell r="A160" t="str">
            <v>0624</v>
          </cell>
          <cell r="B160" t="str">
            <v xml:space="preserve">SANDWICH </v>
          </cell>
          <cell r="C160" t="str">
            <v>SANDWICH PAN ARABE CON JAMON Y QUESO</v>
          </cell>
          <cell r="D160"/>
        </row>
        <row r="161">
          <cell r="A161" t="str">
            <v>0625</v>
          </cell>
          <cell r="B161" t="str">
            <v xml:space="preserve">SANDWICH </v>
          </cell>
          <cell r="C161" t="str">
            <v>FOSFORITOS CON JAMON Y QUESO X 12</v>
          </cell>
          <cell r="D161"/>
        </row>
        <row r="162">
          <cell r="A162"/>
          <cell r="B162"/>
          <cell r="C162" t="str">
            <v>COMIDA</v>
          </cell>
          <cell r="D162"/>
        </row>
        <row r="163">
          <cell r="A163" t="str">
            <v>0701</v>
          </cell>
          <cell r="B163" t="str">
            <v>COMIDA</v>
          </cell>
          <cell r="C163" t="str">
            <v>ENSALADAS DE VERDURA</v>
          </cell>
          <cell r="D163"/>
        </row>
        <row r="164">
          <cell r="A164" t="str">
            <v>0702</v>
          </cell>
          <cell r="B164" t="str">
            <v>COMIDA</v>
          </cell>
          <cell r="C164" t="str">
            <v>ENSALADA CEASAR</v>
          </cell>
          <cell r="D164">
            <v>1688.9355</v>
          </cell>
        </row>
        <row r="165">
          <cell r="A165" t="str">
            <v>0703</v>
          </cell>
          <cell r="B165" t="str">
            <v>COMIDA</v>
          </cell>
          <cell r="C165" t="str">
            <v>TARTA INDIVIDUAL JAMON Y QUESO</v>
          </cell>
          <cell r="D165"/>
        </row>
        <row r="166">
          <cell r="A166" t="str">
            <v>0704</v>
          </cell>
          <cell r="B166" t="str">
            <v>COMIDA</v>
          </cell>
          <cell r="C166" t="str">
            <v>EMPANADA X 12</v>
          </cell>
          <cell r="D166">
            <v>5957.2245000000003</v>
          </cell>
        </row>
        <row r="167">
          <cell r="A167" t="str">
            <v>0705</v>
          </cell>
          <cell r="B167" t="str">
            <v>COMIDA</v>
          </cell>
          <cell r="C167" t="str">
            <v>EMPANADA X UNIDAD</v>
          </cell>
          <cell r="D167">
            <v>496.43537500000002</v>
          </cell>
        </row>
        <row r="168">
          <cell r="A168" t="str">
            <v>0706</v>
          </cell>
          <cell r="B168" t="str">
            <v>COMIDA</v>
          </cell>
          <cell r="C168" t="str">
            <v>ENSALADAS DE FRUTAS</v>
          </cell>
          <cell r="D168">
            <v>374.73684210526318</v>
          </cell>
        </row>
        <row r="169">
          <cell r="A169" t="str">
            <v>0707</v>
          </cell>
          <cell r="B169" t="str">
            <v>COMIDA</v>
          </cell>
          <cell r="C169" t="str">
            <v>EMPANADA X UNIDAD CARNE</v>
          </cell>
          <cell r="D169">
            <v>799.78947368421052</v>
          </cell>
        </row>
        <row r="170">
          <cell r="A170" t="str">
            <v>0708</v>
          </cell>
          <cell r="B170" t="str">
            <v>COMIDA</v>
          </cell>
          <cell r="C170" t="str">
            <v>EMPANADA X UNIDAD POLLO</v>
          </cell>
          <cell r="D170">
            <v>404.98947368421051</v>
          </cell>
        </row>
        <row r="171">
          <cell r="A171" t="str">
            <v>0709</v>
          </cell>
          <cell r="B171" t="str">
            <v>COMIDA</v>
          </cell>
          <cell r="C171" t="str">
            <v>EMPANADA X UNIDAD VERDURA</v>
          </cell>
          <cell r="D171"/>
        </row>
        <row r="172">
          <cell r="A172" t="str">
            <v>0710</v>
          </cell>
          <cell r="B172" t="str">
            <v>COMIDA</v>
          </cell>
          <cell r="C172" t="str">
            <v>TARTA INDIVIDUAL VERDURA</v>
          </cell>
          <cell r="D172"/>
        </row>
        <row r="173">
          <cell r="A173" t="str">
            <v>0711</v>
          </cell>
          <cell r="B173" t="str">
            <v>COMIDA</v>
          </cell>
          <cell r="C173" t="str">
            <v>TARTA INDIVIDUAL BROCOLI</v>
          </cell>
          <cell r="D173">
            <v>1118.5614035087719</v>
          </cell>
        </row>
        <row r="174">
          <cell r="A174" t="str">
            <v>0712</v>
          </cell>
          <cell r="B174" t="str">
            <v>COMIDA</v>
          </cell>
          <cell r="C174" t="str">
            <v>TARTA INDIVIDUAL TRICOLOR</v>
          </cell>
          <cell r="D174"/>
        </row>
        <row r="175">
          <cell r="A175" t="str">
            <v>0713</v>
          </cell>
          <cell r="B175" t="str">
            <v>COMIDA</v>
          </cell>
          <cell r="C175" t="str">
            <v>TARTA INDIVIDUAL ZAPALLITO</v>
          </cell>
          <cell r="D175"/>
        </row>
        <row r="176">
          <cell r="A176" t="str">
            <v>0714</v>
          </cell>
          <cell r="B176" t="str">
            <v>COMIDA</v>
          </cell>
          <cell r="C176" t="str">
            <v>TARTA INDIVIDUAL POLLO</v>
          </cell>
          <cell r="D176"/>
        </row>
        <row r="177">
          <cell r="A177" t="str">
            <v>0715</v>
          </cell>
          <cell r="B177" t="str">
            <v>COMIDA</v>
          </cell>
          <cell r="C177" t="str">
            <v>TARTA INDIVIDUAL CALABAZA</v>
          </cell>
          <cell r="D177"/>
        </row>
        <row r="178">
          <cell r="A178" t="str">
            <v>0716</v>
          </cell>
          <cell r="B178" t="str">
            <v>COMIDA</v>
          </cell>
          <cell r="C178" t="str">
            <v>EMPANADA X UNIDAD J Y Q</v>
          </cell>
          <cell r="D178">
            <v>496.43537500000002</v>
          </cell>
        </row>
        <row r="179">
          <cell r="A179"/>
          <cell r="B179"/>
          <cell r="C179"/>
          <cell r="D179"/>
        </row>
        <row r="180">
          <cell r="A180"/>
          <cell r="B180"/>
          <cell r="C180" t="str">
            <v>TORTAS</v>
          </cell>
          <cell r="D180"/>
        </row>
        <row r="181">
          <cell r="A181" t="str">
            <v>0804</v>
          </cell>
          <cell r="B181" t="str">
            <v>TORTAS</v>
          </cell>
          <cell r="C181" t="str">
            <v>TORTA GRANDE</v>
          </cell>
          <cell r="D181">
            <v>8402.2979241192406</v>
          </cell>
        </row>
        <row r="182">
          <cell r="A182" t="str">
            <v>0805</v>
          </cell>
          <cell r="B182" t="str">
            <v>TARTA</v>
          </cell>
          <cell r="C182" t="str">
            <v>RICOTA</v>
          </cell>
          <cell r="D182">
            <v>3686.5431666666668</v>
          </cell>
        </row>
        <row r="183">
          <cell r="A183" t="str">
            <v>0806</v>
          </cell>
          <cell r="B183" t="str">
            <v>TARTA</v>
          </cell>
          <cell r="C183" t="str">
            <v>PASTA FROLA BATATA</v>
          </cell>
          <cell r="D183">
            <v>1993.6194858024692</v>
          </cell>
        </row>
        <row r="184">
          <cell r="A184" t="str">
            <v>0807</v>
          </cell>
          <cell r="B184" t="str">
            <v>TARTA</v>
          </cell>
          <cell r="C184" t="str">
            <v>BROWNIE</v>
          </cell>
          <cell r="D184"/>
        </row>
        <row r="185">
          <cell r="A185" t="str">
            <v>0808</v>
          </cell>
          <cell r="B185" t="str">
            <v>TARTA</v>
          </cell>
          <cell r="C185" t="str">
            <v>FRUTILLA</v>
          </cell>
          <cell r="D185">
            <v>6779.4065645819901</v>
          </cell>
        </row>
        <row r="186">
          <cell r="A186" t="str">
            <v>0809</v>
          </cell>
          <cell r="B186" t="str">
            <v>TARTA</v>
          </cell>
          <cell r="C186" t="str">
            <v>TOFFY</v>
          </cell>
          <cell r="D186">
            <v>5339.9147222222218</v>
          </cell>
        </row>
        <row r="187">
          <cell r="A187" t="str">
            <v>0810</v>
          </cell>
          <cell r="B187" t="str">
            <v>TARTA</v>
          </cell>
          <cell r="C187" t="str">
            <v>COPITO</v>
          </cell>
          <cell r="D187">
            <v>5133.3124222222214</v>
          </cell>
        </row>
        <row r="188">
          <cell r="A188" t="str">
            <v>0811</v>
          </cell>
          <cell r="B188" t="str">
            <v>TARTA</v>
          </cell>
          <cell r="C188" t="str">
            <v>CABSHA</v>
          </cell>
          <cell r="D188">
            <v>4621.7753555555555</v>
          </cell>
        </row>
        <row r="189">
          <cell r="A189" t="str">
            <v>0812</v>
          </cell>
          <cell r="B189" t="str">
            <v>TORTAS</v>
          </cell>
          <cell r="C189" t="str">
            <v>MANZANA</v>
          </cell>
          <cell r="D189">
            <v>2965.2552222222221</v>
          </cell>
        </row>
        <row r="190">
          <cell r="A190" t="str">
            <v>0813</v>
          </cell>
          <cell r="B190" t="str">
            <v>TARTA</v>
          </cell>
          <cell r="C190" t="str">
            <v>LEMON PIE</v>
          </cell>
          <cell r="D190">
            <v>4161.3829722222217</v>
          </cell>
        </row>
        <row r="191">
          <cell r="A191" t="str">
            <v>0814</v>
          </cell>
          <cell r="B191" t="str">
            <v>TORTAS</v>
          </cell>
          <cell r="C191" t="str">
            <v>CHEESE CAKE CLASICO</v>
          </cell>
          <cell r="D191">
            <v>6780.5761304713806</v>
          </cell>
        </row>
        <row r="192">
          <cell r="A192" t="str">
            <v>0815</v>
          </cell>
          <cell r="B192" t="str">
            <v>TARTA</v>
          </cell>
          <cell r="C192" t="str">
            <v>NUTELLA</v>
          </cell>
          <cell r="D192">
            <v>3911.0185555555554</v>
          </cell>
        </row>
        <row r="193">
          <cell r="A193" t="str">
            <v>0816</v>
          </cell>
          <cell r="B193" t="str">
            <v>TORTAS</v>
          </cell>
          <cell r="C193" t="str">
            <v>TIRAMISU</v>
          </cell>
          <cell r="D193">
            <v>11144.840742857141</v>
          </cell>
        </row>
        <row r="194">
          <cell r="A194" t="str">
            <v>0817</v>
          </cell>
          <cell r="B194" t="str">
            <v>TORTAS</v>
          </cell>
          <cell r="C194" t="str">
            <v>MIL HOJAS</v>
          </cell>
          <cell r="D194">
            <v>5130.2273333333333</v>
          </cell>
        </row>
        <row r="195">
          <cell r="A195" t="str">
            <v>0818</v>
          </cell>
          <cell r="B195" t="str">
            <v>TORTAS</v>
          </cell>
          <cell r="C195" t="str">
            <v>CHOCOTORTA</v>
          </cell>
          <cell r="D195">
            <v>5992.7480102040818</v>
          </cell>
        </row>
        <row r="196">
          <cell r="A196" t="str">
            <v>0819</v>
          </cell>
          <cell r="B196" t="str">
            <v>TORTAS</v>
          </cell>
          <cell r="C196" t="str">
            <v>TORTAS GRANDES DE CUMPLEAÑOS ( PEDIDO X KG )</v>
          </cell>
          <cell r="D196"/>
        </row>
        <row r="197">
          <cell r="A197" t="str">
            <v>0820</v>
          </cell>
          <cell r="B197" t="str">
            <v>TORTAS</v>
          </cell>
          <cell r="C197" t="str">
            <v xml:space="preserve">CHAJA </v>
          </cell>
          <cell r="D197">
            <v>12023.93792411924</v>
          </cell>
        </row>
        <row r="198">
          <cell r="A198" t="str">
            <v>0821</v>
          </cell>
          <cell r="B198" t="str">
            <v>TORTAS</v>
          </cell>
          <cell r="C198" t="str">
            <v>OREO</v>
          </cell>
          <cell r="D198">
            <v>5612.0085238095244</v>
          </cell>
        </row>
        <row r="199">
          <cell r="A199" t="str">
            <v>0823</v>
          </cell>
          <cell r="B199" t="str">
            <v>TORTAS</v>
          </cell>
          <cell r="C199" t="str">
            <v>VELAS FINAS</v>
          </cell>
          <cell r="D199"/>
        </row>
        <row r="200">
          <cell r="A200" t="str">
            <v>0824</v>
          </cell>
          <cell r="B200" t="str">
            <v>TORTAS</v>
          </cell>
          <cell r="C200" t="str">
            <v>VELAS NUMEROS</v>
          </cell>
          <cell r="D200"/>
        </row>
        <row r="201">
          <cell r="A201" t="str">
            <v>0825</v>
          </cell>
          <cell r="B201" t="str">
            <v>TORTAS</v>
          </cell>
          <cell r="C201" t="str">
            <v>BENGALAS</v>
          </cell>
          <cell r="D201"/>
        </row>
        <row r="202">
          <cell r="A202" t="str">
            <v>0826</v>
          </cell>
          <cell r="B202" t="str">
            <v>TORTAS</v>
          </cell>
          <cell r="C202" t="str">
            <v>MOLINO CHOCOLATE</v>
          </cell>
          <cell r="D202">
            <v>4291.8436666666666</v>
          </cell>
        </row>
        <row r="203">
          <cell r="A203" t="str">
            <v>0827</v>
          </cell>
          <cell r="B203" t="str">
            <v>TORTAS</v>
          </cell>
          <cell r="C203" t="str">
            <v>BALCARCE</v>
          </cell>
          <cell r="D203">
            <v>9525.1385924119259</v>
          </cell>
        </row>
        <row r="204">
          <cell r="A204" t="str">
            <v>0828</v>
          </cell>
          <cell r="B204" t="str">
            <v>TORTAS</v>
          </cell>
          <cell r="C204" t="str">
            <v>ADRIANA</v>
          </cell>
          <cell r="D204">
            <v>7538.0877777777787</v>
          </cell>
        </row>
        <row r="205">
          <cell r="A205" t="str">
            <v>0829</v>
          </cell>
          <cell r="B205" t="str">
            <v>TORTAS</v>
          </cell>
          <cell r="C205" t="str">
            <v>ROGEL</v>
          </cell>
          <cell r="D205">
            <v>9431.9445000000014</v>
          </cell>
        </row>
        <row r="206">
          <cell r="A206" t="str">
            <v>0830</v>
          </cell>
          <cell r="B206" t="str">
            <v>TARTA</v>
          </cell>
          <cell r="C206" t="str">
            <v>COCO CON DDL</v>
          </cell>
          <cell r="D206">
            <v>3153.1264888888886</v>
          </cell>
        </row>
        <row r="207">
          <cell r="A207" t="str">
            <v>0831</v>
          </cell>
          <cell r="B207" t="str">
            <v>TARTA</v>
          </cell>
          <cell r="C207" t="str">
            <v>PASTA FROLA MEMBRILLO</v>
          </cell>
          <cell r="D207">
            <v>1731.7861524691357</v>
          </cell>
        </row>
        <row r="208">
          <cell r="A208" t="str">
            <v>0832</v>
          </cell>
          <cell r="B208" t="str">
            <v>TORTAS</v>
          </cell>
          <cell r="C208" t="str">
            <v>CHESE CAKE MARACUYA</v>
          </cell>
          <cell r="D208">
            <v>7125.5427971380468</v>
          </cell>
        </row>
        <row r="209">
          <cell r="A209" t="str">
            <v>0833</v>
          </cell>
          <cell r="B209" t="str">
            <v>TORTAS</v>
          </cell>
          <cell r="C209" t="str">
            <v>CHESE CAKE FRUTILLA</v>
          </cell>
          <cell r="D209">
            <v>7180.5761304713806</v>
          </cell>
        </row>
        <row r="210">
          <cell r="A210" t="str">
            <v>0834</v>
          </cell>
          <cell r="B210" t="str">
            <v>TORTAS</v>
          </cell>
          <cell r="C210" t="str">
            <v>CHESE CAKE FRUTOS ROJOS</v>
          </cell>
          <cell r="D210">
            <v>7125.5427971380468</v>
          </cell>
        </row>
        <row r="211">
          <cell r="A211" t="str">
            <v>0835</v>
          </cell>
          <cell r="B211" t="str">
            <v>TORTAS</v>
          </cell>
          <cell r="C211" t="str">
            <v>SELVA NEGRA</v>
          </cell>
          <cell r="D211">
            <v>12993.798874551971</v>
          </cell>
        </row>
        <row r="212">
          <cell r="A212" t="str">
            <v>0836</v>
          </cell>
          <cell r="B212" t="str">
            <v>TORTAS</v>
          </cell>
          <cell r="C212" t="str">
            <v>TOFFY c/chocolate blanco</v>
          </cell>
          <cell r="D212">
            <v>6100.7731222222219</v>
          </cell>
        </row>
        <row r="213">
          <cell r="A213" t="str">
            <v>0837</v>
          </cell>
          <cell r="B213" t="str">
            <v>TORTAS</v>
          </cell>
          <cell r="C213" t="str">
            <v>TORTA SANDWICH</v>
          </cell>
          <cell r="D213">
            <v>18791.594879310345</v>
          </cell>
        </row>
        <row r="214">
          <cell r="A214"/>
          <cell r="B214"/>
          <cell r="C214" t="str">
            <v>PORCIONES</v>
          </cell>
          <cell r="D214"/>
        </row>
        <row r="215">
          <cell r="A215" t="str">
            <v>0901</v>
          </cell>
          <cell r="B215" t="str">
            <v>PORCIONES</v>
          </cell>
          <cell r="C215" t="str">
            <v>BROWNIE Y LIMON COOKIES  PORCIONES</v>
          </cell>
          <cell r="D215"/>
        </row>
        <row r="216">
          <cell r="A216" t="str">
            <v>0902</v>
          </cell>
          <cell r="B216" t="str">
            <v>PORCIONES</v>
          </cell>
          <cell r="C216" t="str">
            <v>BROWNIE SECO PORCION</v>
          </cell>
          <cell r="D216">
            <v>846.83954761904772</v>
          </cell>
        </row>
        <row r="217">
          <cell r="A217" t="str">
            <v>0903</v>
          </cell>
          <cell r="B217" t="str">
            <v>PORCIONES</v>
          </cell>
          <cell r="C217" t="str">
            <v>RICOTA PORCION</v>
          </cell>
          <cell r="D217">
            <v>1431.4095515873016</v>
          </cell>
        </row>
        <row r="218">
          <cell r="A218" t="str">
            <v>0904</v>
          </cell>
          <cell r="B218" t="str">
            <v>PORCIONES</v>
          </cell>
          <cell r="C218" t="str">
            <v>MANZANA PORCION</v>
          </cell>
          <cell r="D218">
            <v>824.00083333333328</v>
          </cell>
        </row>
        <row r="219">
          <cell r="A219" t="str">
            <v>0905</v>
          </cell>
          <cell r="B219" t="str">
            <v>PORCIONES</v>
          </cell>
          <cell r="C219" t="str">
            <v>FROLA  PORCION</v>
          </cell>
          <cell r="D219">
            <v>779.30376861111097</v>
          </cell>
        </row>
        <row r="220">
          <cell r="A220" t="str">
            <v>0906</v>
          </cell>
          <cell r="B220" t="str">
            <v>PORCIONES</v>
          </cell>
          <cell r="C220" t="str">
            <v>LINGOTES</v>
          </cell>
          <cell r="D220"/>
        </row>
        <row r="221">
          <cell r="A221" t="str">
            <v>0907</v>
          </cell>
          <cell r="B221" t="str">
            <v>PORCIONES</v>
          </cell>
          <cell r="C221" t="str">
            <v>MIL HOJAS  PORCION</v>
          </cell>
          <cell r="D221">
            <v>1282.5568333333333</v>
          </cell>
        </row>
        <row r="222">
          <cell r="A222" t="str">
            <v>0908</v>
          </cell>
          <cell r="B222" t="str">
            <v>PORCIONES</v>
          </cell>
          <cell r="C222" t="str">
            <v>BIZCOCHUELO PORCION</v>
          </cell>
          <cell r="D222"/>
        </row>
        <row r="223">
          <cell r="A223" t="str">
            <v>0909</v>
          </cell>
          <cell r="B223" t="str">
            <v>PORCIONES</v>
          </cell>
          <cell r="C223" t="str">
            <v>MOUSSE  PORCION</v>
          </cell>
          <cell r="D223"/>
        </row>
        <row r="224">
          <cell r="A224" t="str">
            <v>0910</v>
          </cell>
          <cell r="B224" t="str">
            <v>PORCIONES</v>
          </cell>
          <cell r="C224" t="str">
            <v>CHEESE CAKE MINI</v>
          </cell>
          <cell r="D224">
            <v>1331.1807260942762</v>
          </cell>
        </row>
        <row r="225">
          <cell r="A225" t="str">
            <v>0911</v>
          </cell>
          <cell r="B225" t="str">
            <v>PORCIONES</v>
          </cell>
          <cell r="C225" t="str">
            <v>CHOCOTORTA  PORCION</v>
          </cell>
          <cell r="D225"/>
        </row>
        <row r="226">
          <cell r="A226" t="str">
            <v>0912</v>
          </cell>
          <cell r="B226" t="str">
            <v>PORCIONES</v>
          </cell>
          <cell r="C226" t="str">
            <v>LIMON ALMACEN PAN  PORCION</v>
          </cell>
          <cell r="D226"/>
        </row>
        <row r="227">
          <cell r="A227" t="str">
            <v>0913</v>
          </cell>
          <cell r="B227" t="str">
            <v>PORCIONES</v>
          </cell>
          <cell r="C227" t="str">
            <v>TIRAMISU  PORCION</v>
          </cell>
          <cell r="D227"/>
        </row>
        <row r="228">
          <cell r="A228" t="str">
            <v>0914</v>
          </cell>
          <cell r="B228" t="str">
            <v>PORCIONES</v>
          </cell>
          <cell r="C228" t="str">
            <v xml:space="preserve">LINGOTE CARROT CAKE </v>
          </cell>
          <cell r="D228"/>
        </row>
        <row r="229">
          <cell r="A229" t="str">
            <v>0915</v>
          </cell>
          <cell r="B229" t="str">
            <v>PORCIONES</v>
          </cell>
          <cell r="C229" t="str">
            <v>LINGOTES CHOCOTORTA</v>
          </cell>
          <cell r="D229">
            <v>1807.3630238095238</v>
          </cell>
        </row>
        <row r="230">
          <cell r="A230" t="str">
            <v>0916</v>
          </cell>
          <cell r="B230" t="str">
            <v>PORCIONES</v>
          </cell>
          <cell r="C230" t="str">
            <v>LINGOTES OREO</v>
          </cell>
          <cell r="D230">
            <v>1117.2393976190476</v>
          </cell>
        </row>
        <row r="231">
          <cell r="A231" t="str">
            <v>0917</v>
          </cell>
          <cell r="B231" t="str">
            <v>PORCIONES</v>
          </cell>
          <cell r="C231" t="str">
            <v>LINGOTES KEY LINE</v>
          </cell>
          <cell r="D231">
            <v>2094.8687500000001</v>
          </cell>
        </row>
        <row r="232">
          <cell r="A232" t="str">
            <v>0918</v>
          </cell>
          <cell r="B232" t="str">
            <v>PORCIONES</v>
          </cell>
          <cell r="C232" t="str">
            <v>LINGOTES BROWNIE</v>
          </cell>
          <cell r="D232"/>
        </row>
        <row r="233">
          <cell r="A233" t="str">
            <v>0919</v>
          </cell>
          <cell r="B233" t="str">
            <v>PORCIONES</v>
          </cell>
          <cell r="C233" t="str">
            <v>CHEESE CAKE MINI TRADICIONAL</v>
          </cell>
          <cell r="D233">
            <v>1331.1807260942762</v>
          </cell>
        </row>
        <row r="234">
          <cell r="A234" t="str">
            <v>0920</v>
          </cell>
          <cell r="B234" t="str">
            <v>PORCIONES</v>
          </cell>
          <cell r="C234" t="str">
            <v>CHEESE CAKE MINI FRUTILLA</v>
          </cell>
          <cell r="D234">
            <v>1411.1807260942762</v>
          </cell>
        </row>
        <row r="235">
          <cell r="A235" t="str">
            <v>0921</v>
          </cell>
          <cell r="B235" t="str">
            <v>PORCIONES</v>
          </cell>
          <cell r="C235" t="str">
            <v>CHEESE CAKE MINI OREO</v>
          </cell>
          <cell r="D235">
            <v>1339.4340594276096</v>
          </cell>
        </row>
        <row r="236">
          <cell r="A236" t="str">
            <v>0922</v>
          </cell>
          <cell r="B236" t="str">
            <v>PORCIONES</v>
          </cell>
          <cell r="C236" t="str">
            <v>CHEESE CAKE MINI TIRAMISU</v>
          </cell>
          <cell r="D236">
            <v>1385.1152260942761</v>
          </cell>
        </row>
        <row r="237">
          <cell r="A237" t="str">
            <v>0923</v>
          </cell>
          <cell r="B237" t="str">
            <v>PORCIONES</v>
          </cell>
          <cell r="C237" t="str">
            <v>CHEESE CAKE MINI MOUSE</v>
          </cell>
          <cell r="D237"/>
        </row>
        <row r="238">
          <cell r="A238" t="str">
            <v>0924</v>
          </cell>
          <cell r="B238" t="str">
            <v>PORCIONES</v>
          </cell>
          <cell r="C238" t="str">
            <v>COCO CON DDL</v>
          </cell>
          <cell r="D238"/>
        </row>
        <row r="239">
          <cell r="A239" t="str">
            <v>0925</v>
          </cell>
          <cell r="B239" t="str">
            <v>PORCIONES</v>
          </cell>
          <cell r="C239" t="str">
            <v>FROLA  PORCION - MEMBRILLO-</v>
          </cell>
          <cell r="D239">
            <v>779.30376861111097</v>
          </cell>
        </row>
        <row r="240">
          <cell r="A240" t="str">
            <v>0926</v>
          </cell>
          <cell r="B240" t="str">
            <v>PORCIONES</v>
          </cell>
          <cell r="C240" t="str">
            <v>FROLA  PORCION -BATATA-</v>
          </cell>
          <cell r="D240">
            <v>897.12876861111101</v>
          </cell>
        </row>
        <row r="241">
          <cell r="A241"/>
          <cell r="B241"/>
          <cell r="C241" t="str">
            <v>TORTAS INDIVIDUALES</v>
          </cell>
          <cell r="D241"/>
        </row>
        <row r="242">
          <cell r="A242" t="str">
            <v>1001</v>
          </cell>
          <cell r="B242" t="str">
            <v>TORTAS INDIVIDUALES</v>
          </cell>
          <cell r="C242" t="str">
            <v>FLORA INDIVIDUAL MEMBRILLO</v>
          </cell>
          <cell r="D242">
            <v>779.30376861111097</v>
          </cell>
        </row>
        <row r="243">
          <cell r="A243" t="str">
            <v>1002</v>
          </cell>
          <cell r="B243" t="str">
            <v>TORTAS INDIVIDUALES</v>
          </cell>
          <cell r="C243" t="str">
            <v>RICOTA INDIVIDUAL</v>
          </cell>
          <cell r="D243">
            <v>1889.1018333333332</v>
          </cell>
        </row>
        <row r="244">
          <cell r="A244" t="str">
            <v>1003</v>
          </cell>
          <cell r="B244" t="str">
            <v>TORTAS INDIVIDUALES</v>
          </cell>
          <cell r="C244" t="str">
            <v>LEMON PIE INDIVIDUAL</v>
          </cell>
          <cell r="D244">
            <v>1962.3601666666668</v>
          </cell>
        </row>
        <row r="245">
          <cell r="A245" t="str">
            <v>1004</v>
          </cell>
          <cell r="B245" t="str">
            <v>TORTAS INDIVIDUALES</v>
          </cell>
          <cell r="C245" t="str">
            <v>MANZANA INDIVIDUAL</v>
          </cell>
          <cell r="D245">
            <v>1487.1203333333333</v>
          </cell>
        </row>
        <row r="246">
          <cell r="A246" t="str">
            <v>1005</v>
          </cell>
          <cell r="B246" t="str">
            <v>TORTAS INDIVIDUALES</v>
          </cell>
          <cell r="C246" t="str">
            <v>FRUTILLA INDIVIDUAL</v>
          </cell>
          <cell r="D246">
            <v>4178.6887267354386</v>
          </cell>
        </row>
        <row r="247">
          <cell r="A247" t="str">
            <v>1006</v>
          </cell>
          <cell r="B247" t="str">
            <v>TORTAS INDIVIDUALES</v>
          </cell>
          <cell r="C247" t="str">
            <v>BROWNIE CON ROCKLERST  INDIVIDUAL</v>
          </cell>
          <cell r="D247"/>
        </row>
        <row r="248">
          <cell r="A248" t="str">
            <v>1007</v>
          </cell>
          <cell r="B248" t="str">
            <v>TORTAS INDIVIDUALES</v>
          </cell>
          <cell r="C248" t="str">
            <v>CABSHA  INDIVIDUAL</v>
          </cell>
          <cell r="D248">
            <v>2310.8876777777778</v>
          </cell>
        </row>
        <row r="249">
          <cell r="A249" t="str">
            <v>1008</v>
          </cell>
          <cell r="B249" t="str">
            <v>TORTAS INDIVIDUALES</v>
          </cell>
          <cell r="C249" t="str">
            <v>TOFFY  INDIVUAL</v>
          </cell>
          <cell r="D249">
            <v>2669.9573611111109</v>
          </cell>
        </row>
        <row r="250">
          <cell r="A250" t="str">
            <v>1009</v>
          </cell>
          <cell r="B250" t="str">
            <v>TORTAS INDIVIDUALES</v>
          </cell>
          <cell r="C250" t="str">
            <v>COPITO  INDIVIDUAL</v>
          </cell>
          <cell r="D250">
            <v>2566.6562111111107</v>
          </cell>
        </row>
        <row r="251">
          <cell r="A251" t="str">
            <v>1010</v>
          </cell>
          <cell r="B251" t="str">
            <v>TORTAS INDIVIDUALES</v>
          </cell>
          <cell r="C251" t="str">
            <v>FROLA INDIVIDUAL BATATA</v>
          </cell>
          <cell r="D251">
            <v>897.12876861111101</v>
          </cell>
        </row>
        <row r="252">
          <cell r="A252" t="str">
            <v>1011</v>
          </cell>
          <cell r="B252" t="str">
            <v>TORTAS INDIVIDUALES</v>
          </cell>
          <cell r="C252" t="str">
            <v>COCO CON DDL PORCION</v>
          </cell>
          <cell r="D252"/>
        </row>
        <row r="253">
          <cell r="A253" t="str">
            <v>1012</v>
          </cell>
          <cell r="B253" t="str">
            <v>TORTAS INDIVIDUALES</v>
          </cell>
          <cell r="C253" t="str">
            <v>COCO CON DDL INDIVIDUAL</v>
          </cell>
          <cell r="D253">
            <v>1490.4521333333334</v>
          </cell>
        </row>
        <row r="254">
          <cell r="A254" t="str">
            <v>1013</v>
          </cell>
          <cell r="B254" t="str">
            <v>TORTAS INDIVIDUALES</v>
          </cell>
          <cell r="C254" t="str">
            <v>NUTELLA INDIVIDUAL</v>
          </cell>
          <cell r="D254">
            <v>2742.3267777777778</v>
          </cell>
        </row>
        <row r="255">
          <cell r="A255"/>
          <cell r="B255"/>
          <cell r="C255" t="str">
            <v>GALLETITAS</v>
          </cell>
          <cell r="D255"/>
        </row>
        <row r="256">
          <cell r="A256" t="str">
            <v>1101</v>
          </cell>
          <cell r="B256" t="str">
            <v>GALLETITAS</v>
          </cell>
          <cell r="C256" t="str">
            <v xml:space="preserve">GALLETITAS DULCES </v>
          </cell>
          <cell r="D256">
            <v>1023.4616666666666</v>
          </cell>
        </row>
        <row r="257">
          <cell r="A257" t="str">
            <v>1102</v>
          </cell>
          <cell r="B257" t="str">
            <v>GALLETITAS</v>
          </cell>
          <cell r="C257" t="str">
            <v>GALLETITAS DULCES  X 1/4</v>
          </cell>
          <cell r="D257">
            <v>255.86541666666665</v>
          </cell>
        </row>
        <row r="258">
          <cell r="A258" t="str">
            <v>1105</v>
          </cell>
          <cell r="B258" t="str">
            <v>GALLETITAS</v>
          </cell>
          <cell r="C258" t="str">
            <v>MERENGUES</v>
          </cell>
          <cell r="D258">
            <v>3621.64</v>
          </cell>
        </row>
        <row r="259">
          <cell r="A259" t="str">
            <v>1106</v>
          </cell>
          <cell r="B259" t="str">
            <v>GALLETITAS</v>
          </cell>
          <cell r="C259" t="str">
            <v>MERENGUES X 1/4</v>
          </cell>
          <cell r="D259">
            <v>905.41</v>
          </cell>
        </row>
        <row r="260">
          <cell r="A260" t="str">
            <v>1107</v>
          </cell>
          <cell r="B260" t="str">
            <v>GALLETITAS</v>
          </cell>
          <cell r="C260" t="str">
            <v>PEPAS MEMBRILLO x kg MAYORISTA</v>
          </cell>
          <cell r="D260">
            <v>2874.6144126984132</v>
          </cell>
        </row>
        <row r="261">
          <cell r="A261" t="str">
            <v>1108</v>
          </cell>
          <cell r="B261" t="str">
            <v>GALLETITAS</v>
          </cell>
          <cell r="C261" t="str">
            <v>COQUITOS x kg MAYORISTA</v>
          </cell>
          <cell r="D261">
            <v>3437.0929962962964</v>
          </cell>
        </row>
        <row r="262">
          <cell r="A262" t="str">
            <v>1109</v>
          </cell>
          <cell r="B262" t="str">
            <v>GALLETITAS</v>
          </cell>
          <cell r="C262" t="str">
            <v>ROSQUITAS ESPAÑOLAS x kg MAYORISTA</v>
          </cell>
          <cell r="D262">
            <v>1352.4908730158729</v>
          </cell>
        </row>
        <row r="263">
          <cell r="A263" t="str">
            <v>1110</v>
          </cell>
          <cell r="B263" t="str">
            <v>GALLETITAS</v>
          </cell>
          <cell r="C263" t="str">
            <v>SCONS DULCES x kg MAYORISTA</v>
          </cell>
          <cell r="D263">
            <v>662.57832098765425</v>
          </cell>
        </row>
        <row r="264">
          <cell r="A264" t="str">
            <v>1111</v>
          </cell>
          <cell r="B264" t="str">
            <v>GALLETITAS</v>
          </cell>
          <cell r="C264" t="str">
            <v>SCONS DE QUESO x kg MAYORISTA</v>
          </cell>
          <cell r="D264">
            <v>3688.2756178026775</v>
          </cell>
        </row>
        <row r="265">
          <cell r="A265" t="str">
            <v>1112</v>
          </cell>
          <cell r="B265" t="str">
            <v>GALLETITAS</v>
          </cell>
          <cell r="C265" t="str">
            <v>PALITOS DE QUESO x kg MAYORISTA</v>
          </cell>
          <cell r="D265">
            <v>3223.3698571428572</v>
          </cell>
        </row>
        <row r="266">
          <cell r="A266" t="str">
            <v>1113</v>
          </cell>
          <cell r="B266" t="str">
            <v>GALLETITAS</v>
          </cell>
          <cell r="C266" t="str">
            <v>PALITOS DE ANIS x kg MAYORISTA</v>
          </cell>
          <cell r="D266">
            <v>1204.5098287037035</v>
          </cell>
        </row>
        <row r="267">
          <cell r="A267" t="str">
            <v>1114</v>
          </cell>
          <cell r="B267" t="str">
            <v>GALLETITAS</v>
          </cell>
          <cell r="C267" t="str">
            <v>PEPAS BATATA X KG MAYORISTA</v>
          </cell>
          <cell r="D267" t="e">
            <v>#REF!</v>
          </cell>
        </row>
        <row r="268">
          <cell r="A268" t="str">
            <v>1115</v>
          </cell>
          <cell r="B268" t="str">
            <v>GALLETITAS</v>
          </cell>
          <cell r="C268" t="str">
            <v>COOKIES AVENA Y PASAS</v>
          </cell>
          <cell r="D268">
            <v>6490.9700529100537</v>
          </cell>
        </row>
        <row r="269">
          <cell r="A269" t="str">
            <v>1116</v>
          </cell>
          <cell r="B269" t="str">
            <v>GALLETITAS</v>
          </cell>
          <cell r="C269" t="str">
            <v>COOKIES VAINILLA C/ CHIPS CHO.</v>
          </cell>
          <cell r="D269">
            <v>6467.3765432098771</v>
          </cell>
        </row>
        <row r="270">
          <cell r="A270" t="str">
            <v>1117</v>
          </cell>
          <cell r="B270" t="str">
            <v>GALLETITAS</v>
          </cell>
          <cell r="C270" t="str">
            <v>COOKIES DE CHOCOLATE CON CHIPS</v>
          </cell>
          <cell r="D270">
            <v>6118.9846560846563</v>
          </cell>
        </row>
        <row r="271">
          <cell r="A271" t="str">
            <v>1118</v>
          </cell>
          <cell r="B271" t="str">
            <v>GALLETITAS</v>
          </cell>
          <cell r="C271" t="str">
            <v>COOKIES DE ROCKLERST</v>
          </cell>
          <cell r="D271">
            <v>7655.4513227513235</v>
          </cell>
        </row>
        <row r="272">
          <cell r="A272" t="str">
            <v>1119</v>
          </cell>
          <cell r="B272" t="str">
            <v>GALLETITAS</v>
          </cell>
          <cell r="C272" t="str">
            <v>GALLETITAS DULCES - Palmeritas</v>
          </cell>
          <cell r="D272">
            <v>959.49531249999995</v>
          </cell>
        </row>
        <row r="273">
          <cell r="A273" t="str">
            <v>1120</v>
          </cell>
          <cell r="B273" t="str">
            <v>GALLETITAS</v>
          </cell>
          <cell r="C273" t="str">
            <v>GALLETITAS DULCES - Membrillitos</v>
          </cell>
          <cell r="D273">
            <v>1023.4616666666666</v>
          </cell>
        </row>
        <row r="274">
          <cell r="A274"/>
          <cell r="B274"/>
          <cell r="C274" t="str">
            <v>BLISTERS PANFRESH</v>
          </cell>
          <cell r="D274"/>
        </row>
        <row r="275">
          <cell r="A275" t="str">
            <v>1201</v>
          </cell>
          <cell r="B275" t="str">
            <v>BLISTERS</v>
          </cell>
          <cell r="C275" t="str">
            <v>PEPAS</v>
          </cell>
          <cell r="D275"/>
        </row>
        <row r="276">
          <cell r="A276" t="str">
            <v>1202</v>
          </cell>
          <cell r="B276" t="str">
            <v>BLISTERS</v>
          </cell>
          <cell r="C276" t="str">
            <v>COPOS DE COCO</v>
          </cell>
          <cell r="D276"/>
        </row>
        <row r="277">
          <cell r="A277" t="str">
            <v>1203</v>
          </cell>
          <cell r="B277" t="str">
            <v>BLISTERS</v>
          </cell>
          <cell r="C277" t="str">
            <v>PALMERITAS</v>
          </cell>
          <cell r="D277"/>
        </row>
        <row r="278">
          <cell r="A278" t="str">
            <v>1204</v>
          </cell>
          <cell r="B278" t="str">
            <v>BLISTERS</v>
          </cell>
          <cell r="C278" t="str">
            <v>ALFAJORCITO MAICENA</v>
          </cell>
          <cell r="D278">
            <v>2304.6639323671498</v>
          </cell>
        </row>
        <row r="279">
          <cell r="A279" t="str">
            <v>1205</v>
          </cell>
          <cell r="B279" t="str">
            <v>BLISTERS</v>
          </cell>
          <cell r="C279" t="str">
            <v>ALFAJOR CHOCO</v>
          </cell>
          <cell r="D279"/>
        </row>
        <row r="280">
          <cell r="A280" t="str">
            <v>1206</v>
          </cell>
          <cell r="B280" t="str">
            <v>BLISTERS</v>
          </cell>
          <cell r="C280" t="str">
            <v>PALEMRAS CHOCO</v>
          </cell>
          <cell r="D280"/>
        </row>
        <row r="281">
          <cell r="A281" t="str">
            <v>1207</v>
          </cell>
          <cell r="B281" t="str">
            <v>BLISTERS</v>
          </cell>
          <cell r="C281" t="str">
            <v>COPITOS CHOCO</v>
          </cell>
          <cell r="D281"/>
        </row>
        <row r="282">
          <cell r="A282" t="str">
            <v>1208</v>
          </cell>
          <cell r="B282" t="str">
            <v>BLISTERS</v>
          </cell>
          <cell r="C282" t="str">
            <v>BROWNIE</v>
          </cell>
          <cell r="D282"/>
        </row>
        <row r="283">
          <cell r="A283" t="str">
            <v>1209</v>
          </cell>
          <cell r="B283" t="str">
            <v>BLISTERS</v>
          </cell>
          <cell r="C283" t="str">
            <v>MASAS SECAS x 240kg</v>
          </cell>
          <cell r="D283">
            <v>553.11934376811587</v>
          </cell>
        </row>
        <row r="284">
          <cell r="A284" t="str">
            <v>1210</v>
          </cell>
          <cell r="B284" t="str">
            <v>BLISTERS</v>
          </cell>
          <cell r="C284" t="str">
            <v>BANDEJAS MASAS SECAS</v>
          </cell>
          <cell r="D284"/>
        </row>
        <row r="285">
          <cell r="A285" t="str">
            <v>1211</v>
          </cell>
          <cell r="B285" t="str">
            <v>BLISTERS</v>
          </cell>
          <cell r="C285" t="str">
            <v>MASAS FINAS KG</v>
          </cell>
          <cell r="D285">
            <v>5378.3487278156599</v>
          </cell>
        </row>
        <row r="286">
          <cell r="A286" t="str">
            <v>1212</v>
          </cell>
          <cell r="B286" t="str">
            <v>BLISTERS</v>
          </cell>
          <cell r="C286" t="str">
            <v>TARRITOS DE COOKIES</v>
          </cell>
          <cell r="D286"/>
        </row>
        <row r="287">
          <cell r="A287"/>
          <cell r="B287"/>
          <cell r="C287" t="str">
            <v>Budines</v>
          </cell>
          <cell r="D287"/>
        </row>
        <row r="288">
          <cell r="A288" t="str">
            <v>1302</v>
          </cell>
          <cell r="B288" t="str">
            <v>BUDINES</v>
          </cell>
          <cell r="C288" t="str">
            <v>MUFFINS</v>
          </cell>
          <cell r="D288"/>
        </row>
        <row r="289">
          <cell r="A289" t="str">
            <v>1303</v>
          </cell>
          <cell r="B289" t="str">
            <v>BUDINES</v>
          </cell>
          <cell r="C289" t="str">
            <v>BUDIN GRANDE MARMOLADO</v>
          </cell>
          <cell r="D289"/>
        </row>
        <row r="290">
          <cell r="A290" t="str">
            <v>1304</v>
          </cell>
          <cell r="B290" t="str">
            <v>BUDINES</v>
          </cell>
          <cell r="C290" t="str">
            <v>PORCION BUDIN</v>
          </cell>
          <cell r="D290"/>
        </row>
        <row r="291">
          <cell r="A291" t="str">
            <v>1305</v>
          </cell>
          <cell r="B291" t="str">
            <v>BUDINES</v>
          </cell>
          <cell r="C291" t="str">
            <v>BUDIN LIMON</v>
          </cell>
          <cell r="D291"/>
        </row>
        <row r="292">
          <cell r="A292" t="str">
            <v>1306</v>
          </cell>
          <cell r="B292" t="str">
            <v>BUDINES</v>
          </cell>
          <cell r="C292" t="str">
            <v>BUDIN ALMACEN PAN X2</v>
          </cell>
          <cell r="D292"/>
        </row>
        <row r="293">
          <cell r="A293" t="str">
            <v>1307</v>
          </cell>
          <cell r="B293" t="str">
            <v>BUDINES</v>
          </cell>
          <cell r="C293" t="str">
            <v>BUDIN GRANDE VAINILLA</v>
          </cell>
          <cell r="D293"/>
        </row>
        <row r="294">
          <cell r="A294" t="str">
            <v>1308</v>
          </cell>
          <cell r="B294" t="str">
            <v>BUDINES</v>
          </cell>
          <cell r="C294" t="str">
            <v>BUDIN GRANDE LIMON</v>
          </cell>
          <cell r="D294"/>
        </row>
        <row r="295">
          <cell r="A295" t="str">
            <v>1309</v>
          </cell>
          <cell r="B295" t="str">
            <v>BUDINES</v>
          </cell>
          <cell r="C295" t="str">
            <v>BUDIN NARANJA</v>
          </cell>
          <cell r="D295"/>
        </row>
        <row r="296">
          <cell r="A296" t="str">
            <v>1310</v>
          </cell>
          <cell r="B296" t="str">
            <v>BUDINES</v>
          </cell>
          <cell r="C296" t="str">
            <v>BUDIN VAINILLA C/CHIPS</v>
          </cell>
          <cell r="D296"/>
        </row>
        <row r="297">
          <cell r="A297" t="str">
            <v>1311</v>
          </cell>
          <cell r="B297" t="str">
            <v>BUDINES</v>
          </cell>
          <cell r="C297" t="str">
            <v>BUDIN VAINILLA C/ DDL</v>
          </cell>
          <cell r="D297"/>
        </row>
        <row r="298">
          <cell r="A298" t="str">
            <v>1312</v>
          </cell>
          <cell r="B298" t="str">
            <v>BUDINES</v>
          </cell>
          <cell r="C298" t="str">
            <v>BUDIN MARMOLADO ( VAINILLA Y CHOCOLATE )</v>
          </cell>
          <cell r="D298"/>
        </row>
        <row r="299">
          <cell r="A299" t="str">
            <v>1313</v>
          </cell>
          <cell r="B299" t="str">
            <v>BUDINES</v>
          </cell>
          <cell r="C299" t="str">
            <v>BUDIN CHOCOLATE</v>
          </cell>
          <cell r="D299"/>
        </row>
        <row r="300">
          <cell r="A300"/>
          <cell r="B300"/>
          <cell r="C300"/>
          <cell r="D300"/>
        </row>
        <row r="301">
          <cell r="A301"/>
          <cell r="B301"/>
          <cell r="C301" t="str">
            <v>PAN DULCE</v>
          </cell>
          <cell r="D301"/>
        </row>
        <row r="302">
          <cell r="A302" t="str">
            <v>1401</v>
          </cell>
          <cell r="B302" t="str">
            <v>PAN DULCE</v>
          </cell>
          <cell r="C302" t="str">
            <v>PAN DULCE X PESO</v>
          </cell>
          <cell r="D302"/>
        </row>
        <row r="303">
          <cell r="A303" t="str">
            <v>1402</v>
          </cell>
          <cell r="B303" t="str">
            <v>PAN DULCE</v>
          </cell>
          <cell r="C303" t="str">
            <v xml:space="preserve">PAN DULCE CON CHIPS </v>
          </cell>
          <cell r="D303">
            <v>1437.7762444444445</v>
          </cell>
        </row>
        <row r="304">
          <cell r="A304" t="str">
            <v>1403</v>
          </cell>
          <cell r="B304" t="str">
            <v>PAN DULCE</v>
          </cell>
          <cell r="C304" t="str">
            <v>PAN DULCE TODAS LAS FRUTAS</v>
          </cell>
          <cell r="D304">
            <v>1738.4265185185188</v>
          </cell>
        </row>
        <row r="305">
          <cell r="A305" t="str">
            <v>1404</v>
          </cell>
          <cell r="B305" t="str">
            <v>PAN DULCE</v>
          </cell>
          <cell r="C305" t="str">
            <v>PANETONE</v>
          </cell>
          <cell r="D305">
            <v>2765.6785521885522</v>
          </cell>
        </row>
        <row r="306">
          <cell r="A306"/>
          <cell r="B306"/>
          <cell r="C306" t="str">
            <v>ALFAJORES</v>
          </cell>
          <cell r="D306"/>
        </row>
        <row r="307">
          <cell r="A307" t="str">
            <v>1501</v>
          </cell>
          <cell r="B307" t="str">
            <v>ALFAJORES</v>
          </cell>
          <cell r="C307" t="str">
            <v>NEGRO</v>
          </cell>
          <cell r="D307"/>
        </row>
        <row r="308">
          <cell r="A308" t="str">
            <v>1502</v>
          </cell>
          <cell r="B308" t="str">
            <v>ALFAJORES</v>
          </cell>
          <cell r="C308" t="str">
            <v xml:space="preserve">MAICENA </v>
          </cell>
          <cell r="D308"/>
        </row>
        <row r="309">
          <cell r="A309" t="str">
            <v>1503</v>
          </cell>
          <cell r="B309" t="str">
            <v>ALFAJORES</v>
          </cell>
          <cell r="C309" t="str">
            <v>TUBITOS MAICENA COOKIES</v>
          </cell>
          <cell r="D309">
            <v>789.79202222222216</v>
          </cell>
        </row>
        <row r="310">
          <cell r="A310" t="str">
            <v>1504</v>
          </cell>
          <cell r="B310" t="str">
            <v>ALFAJORES</v>
          </cell>
          <cell r="C310" t="str">
            <v>TUBITOS ALMACEN PAN MAICENA</v>
          </cell>
          <cell r="D310">
            <v>599.39675952380958</v>
          </cell>
        </row>
        <row r="311">
          <cell r="A311" t="str">
            <v>1505</v>
          </cell>
          <cell r="B311" t="str">
            <v>ALFAJORES</v>
          </cell>
          <cell r="C311" t="str">
            <v>COCO/ NEGRO/NUEZ GRANDES</v>
          </cell>
          <cell r="D311">
            <v>789.79202222222216</v>
          </cell>
        </row>
        <row r="312">
          <cell r="A312"/>
          <cell r="B312"/>
          <cell r="C312" t="str">
            <v>PASTELITOS</v>
          </cell>
          <cell r="D312"/>
        </row>
        <row r="313">
          <cell r="A313" t="str">
            <v>1601</v>
          </cell>
          <cell r="B313" t="str">
            <v>PASTELITOS</v>
          </cell>
          <cell r="C313" t="str">
            <v>PASTELITOS</v>
          </cell>
          <cell r="D313"/>
        </row>
        <row r="314">
          <cell r="A314" t="str">
            <v>1602</v>
          </cell>
          <cell r="B314" t="str">
            <v>PASTELITOS</v>
          </cell>
          <cell r="C314" t="str">
            <v>PASTELITOS X12</v>
          </cell>
          <cell r="D314"/>
        </row>
        <row r="315">
          <cell r="A315"/>
          <cell r="B315"/>
          <cell r="C315" t="str">
            <v>CAFETERIA PARA LLEVAR</v>
          </cell>
          <cell r="D315"/>
        </row>
        <row r="316">
          <cell r="A316" t="str">
            <v>1701</v>
          </cell>
          <cell r="B316" t="str">
            <v>CAFETERIA PARA LLEVAR</v>
          </cell>
          <cell r="C316" t="str">
            <v>CAFETERIA PARA LLEVAR SOLO</v>
          </cell>
          <cell r="D316"/>
        </row>
        <row r="317">
          <cell r="A317" t="str">
            <v>1702</v>
          </cell>
          <cell r="B317" t="str">
            <v>CAFETERIA PARA LLEVAR</v>
          </cell>
          <cell r="C317" t="str">
            <v>CAFETERIA PARA LLEVAR SOLO GRANDE</v>
          </cell>
          <cell r="D317"/>
        </row>
        <row r="318">
          <cell r="A318" t="str">
            <v>1703</v>
          </cell>
          <cell r="B318" t="str">
            <v>CAFETERIA PARA LLEVAR</v>
          </cell>
          <cell r="C318" t="str">
            <v>CAFETERIA PARA LLEVAR PROMO 3 MEDIAS LUN O 2 FACTURAS</v>
          </cell>
          <cell r="D318"/>
        </row>
        <row r="319">
          <cell r="A319" t="str">
            <v>1704</v>
          </cell>
          <cell r="B319" t="str">
            <v>CAFETERIA PARA LLEVAR</v>
          </cell>
          <cell r="C319" t="str">
            <v>CAFETERIA PARA LLEVAR PROMO 3 MEDIAS LUN O 2 FACTURAS GRANDE</v>
          </cell>
          <cell r="D319"/>
        </row>
        <row r="320">
          <cell r="A320" t="str">
            <v>1705</v>
          </cell>
          <cell r="B320" t="str">
            <v>CAFETERIA PARA LLEVAR</v>
          </cell>
          <cell r="C320" t="str">
            <v>TE CON LECHE SOLO</v>
          </cell>
          <cell r="D320"/>
        </row>
        <row r="321">
          <cell r="A321" t="str">
            <v>1706</v>
          </cell>
          <cell r="B321" t="str">
            <v>CAFETERIA PARA LLEVAR</v>
          </cell>
          <cell r="C321" t="str">
            <v>TE CON LECHE SOLO MAS 3 FACTURAS</v>
          </cell>
          <cell r="D321"/>
        </row>
        <row r="322">
          <cell r="A322"/>
          <cell r="B322"/>
          <cell r="C322" t="str">
            <v>REGALO</v>
          </cell>
          <cell r="D322"/>
        </row>
        <row r="323">
          <cell r="A323" t="str">
            <v>1801</v>
          </cell>
          <cell r="B323" t="str">
            <v>REGALO</v>
          </cell>
          <cell r="C323" t="str">
            <v>BOX CUMPLE GRANDE</v>
          </cell>
          <cell r="D323"/>
        </row>
        <row r="324">
          <cell r="A324" t="str">
            <v>1802</v>
          </cell>
          <cell r="B324" t="str">
            <v>REGALO</v>
          </cell>
          <cell r="C324" t="str">
            <v>BOX CUMPLE CHICO</v>
          </cell>
          <cell r="D324"/>
        </row>
        <row r="325">
          <cell r="A325"/>
          <cell r="B325"/>
          <cell r="C325" t="str">
            <v>INSUMOS</v>
          </cell>
          <cell r="D325"/>
        </row>
        <row r="326">
          <cell r="A326" t="str">
            <v>1901</v>
          </cell>
          <cell r="B326" t="str">
            <v>INSUMOS</v>
          </cell>
          <cell r="C326" t="str">
            <v>BOLSA DE HARINA 0000</v>
          </cell>
          <cell r="D326"/>
        </row>
        <row r="327">
          <cell r="A327" t="str">
            <v>1902</v>
          </cell>
          <cell r="B327" t="str">
            <v>INSUMOS</v>
          </cell>
          <cell r="C327" t="str">
            <v>LEVADURA</v>
          </cell>
          <cell r="D327"/>
        </row>
        <row r="328">
          <cell r="A328"/>
          <cell r="B328"/>
          <cell r="C328" t="e">
            <v>#REF!</v>
          </cell>
          <cell r="D328"/>
        </row>
        <row r="329">
          <cell r="A329" t="str">
            <v>2002</v>
          </cell>
          <cell r="B329" t="str">
            <v>GASEOSAS</v>
          </cell>
          <cell r="C329" t="str">
            <v xml:space="preserve">LINEA COCA 500 </v>
          </cell>
          <cell r="D329">
            <v>1186.2133333333334</v>
          </cell>
        </row>
        <row r="330">
          <cell r="A330" t="str">
            <v>2003</v>
          </cell>
          <cell r="B330" t="str">
            <v>GASEOSAS</v>
          </cell>
          <cell r="C330" t="str">
            <v>LINEA COCA 1,75</v>
          </cell>
          <cell r="D330">
            <v>2827.1287499999999</v>
          </cell>
        </row>
        <row r="331">
          <cell r="A331" t="str">
            <v>2004</v>
          </cell>
          <cell r="B331" t="str">
            <v>GASEOSAS</v>
          </cell>
          <cell r="C331" t="str">
            <v>LATA LINEA PEPSI</v>
          </cell>
          <cell r="D331">
            <v>942.98958333333337</v>
          </cell>
        </row>
        <row r="332">
          <cell r="A332" t="str">
            <v>2005</v>
          </cell>
          <cell r="B332" t="str">
            <v>GASEOSAS</v>
          </cell>
          <cell r="C332" t="str">
            <v>LINEA PEPSI 1,500</v>
          </cell>
          <cell r="D332">
            <v>1796.3966666666665</v>
          </cell>
        </row>
        <row r="333">
          <cell r="A333" t="str">
            <v>2006</v>
          </cell>
          <cell r="B333" t="str">
            <v>GASEOSAS</v>
          </cell>
          <cell r="C333" t="str">
            <v>AGUA NESTLE X 500</v>
          </cell>
          <cell r="D333">
            <v>1201.8625</v>
          </cell>
        </row>
        <row r="334">
          <cell r="A334" t="str">
            <v>2007</v>
          </cell>
          <cell r="B334" t="str">
            <v>GASEOSAS</v>
          </cell>
          <cell r="C334" t="str">
            <v>AGUA NESTLE X 1,500</v>
          </cell>
          <cell r="D334">
            <v>1406.0333333333335</v>
          </cell>
        </row>
        <row r="335">
          <cell r="A335" t="str">
            <v>2008</v>
          </cell>
          <cell r="B335" t="str">
            <v>GASEOSAS</v>
          </cell>
          <cell r="C335" t="str">
            <v>LINEA PEPSI 500</v>
          </cell>
          <cell r="D335">
            <v>1137.855</v>
          </cell>
        </row>
        <row r="336">
          <cell r="A336" t="str">
            <v>2009</v>
          </cell>
          <cell r="B336" t="str">
            <v>GASEOSAS</v>
          </cell>
          <cell r="C336" t="str">
            <v>BAGGIO FRESH X 600</v>
          </cell>
          <cell r="D336">
            <v>593.09875</v>
          </cell>
        </row>
        <row r="337">
          <cell r="A337" t="str">
            <v>2010</v>
          </cell>
          <cell r="B337" t="str">
            <v>GASEOSAS</v>
          </cell>
          <cell r="C337" t="str">
            <v>BAGGIO FRESH X 1,500</v>
          </cell>
          <cell r="D337">
            <v>1730</v>
          </cell>
        </row>
        <row r="338">
          <cell r="A338" t="str">
            <v>2011</v>
          </cell>
          <cell r="B338" t="str">
            <v>GASEOSAS</v>
          </cell>
          <cell r="C338" t="str">
            <v>BAGGIO CHICO</v>
          </cell>
          <cell r="D338">
            <v>941.1</v>
          </cell>
        </row>
        <row r="339">
          <cell r="A339" t="str">
            <v>2012</v>
          </cell>
          <cell r="B339" t="str">
            <v>GASEOSAS</v>
          </cell>
          <cell r="C339" t="str">
            <v>BAGGIO GRANDE X 1LT</v>
          </cell>
          <cell r="D339">
            <v>718.84899999999993</v>
          </cell>
        </row>
        <row r="340">
          <cell r="A340" t="str">
            <v>2013</v>
          </cell>
          <cell r="B340" t="str">
            <v>GASEOSAS</v>
          </cell>
          <cell r="C340" t="str">
            <v>CITRIC 250</v>
          </cell>
          <cell r="D340">
            <v>1045.3055555555557</v>
          </cell>
        </row>
        <row r="341">
          <cell r="A341" t="str">
            <v>2014</v>
          </cell>
          <cell r="B341" t="str">
            <v>GASEOSAS</v>
          </cell>
          <cell r="C341" t="str">
            <v>CITRIC 500</v>
          </cell>
          <cell r="D341">
            <v>2176.9916666666668</v>
          </cell>
        </row>
        <row r="342">
          <cell r="A342" t="str">
            <v>2015</v>
          </cell>
          <cell r="B342" t="str">
            <v>GASEOSAS</v>
          </cell>
          <cell r="C342" t="str">
            <v>CITRIC LITRO</v>
          </cell>
          <cell r="D342">
            <v>3654.2000000000003</v>
          </cell>
        </row>
        <row r="343">
          <cell r="A343" t="str">
            <v>2016</v>
          </cell>
          <cell r="B343" t="str">
            <v>GASEOSAS</v>
          </cell>
          <cell r="C343" t="str">
            <v>GATORADE X 500</v>
          </cell>
          <cell r="D343">
            <v>1252.1916666666666</v>
          </cell>
        </row>
        <row r="344">
          <cell r="A344" t="str">
            <v>2017</v>
          </cell>
          <cell r="B344" t="str">
            <v>GASEOSAS</v>
          </cell>
          <cell r="C344" t="str">
            <v>PLACER X 500</v>
          </cell>
          <cell r="D344">
            <v>12</v>
          </cell>
        </row>
        <row r="345">
          <cell r="A345" t="str">
            <v>2018</v>
          </cell>
          <cell r="B345" t="str">
            <v>GASEOSAS</v>
          </cell>
          <cell r="C345" t="str">
            <v>PLACER X 1,500</v>
          </cell>
          <cell r="D345">
            <v>0</v>
          </cell>
        </row>
        <row r="346">
          <cell r="A346" t="str">
            <v>2019</v>
          </cell>
          <cell r="B346" t="str">
            <v>GASEOSAS</v>
          </cell>
          <cell r="C346" t="str">
            <v>POWERADE</v>
          </cell>
          <cell r="D346">
            <v>0</v>
          </cell>
        </row>
        <row r="347">
          <cell r="A347" t="str">
            <v>2020</v>
          </cell>
          <cell r="B347" t="str">
            <v>GASEOSAS</v>
          </cell>
          <cell r="C347" t="str">
            <v>AGUA SMART X 500</v>
          </cell>
          <cell r="D347">
            <v>887.70333333333338</v>
          </cell>
        </row>
        <row r="348">
          <cell r="A348" t="str">
            <v>2021</v>
          </cell>
          <cell r="B348" t="str">
            <v>GASEOSAS</v>
          </cell>
          <cell r="C348" t="str">
            <v>AGUA SMART X 1,500</v>
          </cell>
          <cell r="D348">
            <v>1309.7166666666667</v>
          </cell>
        </row>
        <row r="349">
          <cell r="A349" t="str">
            <v>2022</v>
          </cell>
          <cell r="B349" t="str">
            <v>GASEOSAS</v>
          </cell>
          <cell r="C349" t="str">
            <v>MONSTER LATA</v>
          </cell>
          <cell r="D349">
            <v>1513.8816666666669</v>
          </cell>
        </row>
        <row r="350">
          <cell r="A350" t="str">
            <v>2023</v>
          </cell>
          <cell r="B350" t="str">
            <v>GASEOSAS</v>
          </cell>
          <cell r="C350" t="str">
            <v xml:space="preserve">PEPSI PETIT </v>
          </cell>
          <cell r="D350">
            <v>0</v>
          </cell>
        </row>
        <row r="351">
          <cell r="A351" t="str">
            <v>2024</v>
          </cell>
          <cell r="B351" t="str">
            <v>GASEOSAS</v>
          </cell>
          <cell r="C351" t="str">
            <v>AGUA ECO DE LOS ANDES 850 CC</v>
          </cell>
          <cell r="D351">
            <v>0</v>
          </cell>
        </row>
        <row r="352">
          <cell r="A352" t="str">
            <v>2025</v>
          </cell>
          <cell r="B352" t="str">
            <v>GASEOSAS</v>
          </cell>
          <cell r="C352" t="str">
            <v>LATA LINEA COCA</v>
          </cell>
          <cell r="D352">
            <v>0</v>
          </cell>
        </row>
        <row r="353">
          <cell r="A353"/>
          <cell r="B353"/>
          <cell r="C353" t="str">
            <v>PASCUAS</v>
          </cell>
          <cell r="D353"/>
        </row>
        <row r="354">
          <cell r="A354" t="str">
            <v>2050</v>
          </cell>
          <cell r="B354" t="str">
            <v>PASCUAS</v>
          </cell>
          <cell r="C354" t="str">
            <v xml:space="preserve">Huevos kinder 150gr </v>
          </cell>
          <cell r="D354"/>
        </row>
        <row r="355">
          <cell r="A355" t="str">
            <v>2051</v>
          </cell>
          <cell r="B355" t="str">
            <v>PASCUAS</v>
          </cell>
          <cell r="C355" t="str">
            <v>Huevos kinder 100 gr.</v>
          </cell>
          <cell r="D355"/>
        </row>
        <row r="356">
          <cell r="A356" t="str">
            <v>2052</v>
          </cell>
          <cell r="B356" t="str">
            <v>PASCUAS</v>
          </cell>
          <cell r="C356" t="str">
            <v xml:space="preserve">Roscas pan fresh especial </v>
          </cell>
          <cell r="D356"/>
        </row>
        <row r="357">
          <cell r="A357" t="str">
            <v>2053</v>
          </cell>
          <cell r="B357" t="str">
            <v>PASCUAS</v>
          </cell>
          <cell r="C357" t="str">
            <v xml:space="preserve">Roscas pan fresh comun </v>
          </cell>
          <cell r="D357"/>
        </row>
        <row r="358">
          <cell r="A358" t="str">
            <v>2054</v>
          </cell>
          <cell r="B358" t="str">
            <v>PASCUAS</v>
          </cell>
          <cell r="C358" t="str">
            <v>Roscas almacen pan</v>
          </cell>
          <cell r="D358"/>
        </row>
        <row r="359">
          <cell r="A359" t="str">
            <v>2055</v>
          </cell>
          <cell r="B359" t="str">
            <v>PASCUAS</v>
          </cell>
          <cell r="C359" t="str">
            <v>Roscas mayorista  (cocida)</v>
          </cell>
          <cell r="D359"/>
        </row>
        <row r="360">
          <cell r="A360" t="str">
            <v>2056</v>
          </cell>
          <cell r="B360" t="str">
            <v>PASCUAS</v>
          </cell>
          <cell r="C360" t="str">
            <v>Roscas mayorista cruda (lata cruda 3 unid)</v>
          </cell>
          <cell r="D360"/>
        </row>
        <row r="361">
          <cell r="A361" t="str">
            <v>2057</v>
          </cell>
          <cell r="B361" t="str">
            <v>PASCUAS</v>
          </cell>
          <cell r="C361" t="str">
            <v xml:space="preserve">Roscas rellenas </v>
          </cell>
          <cell r="D361"/>
        </row>
        <row r="362">
          <cell r="A362" t="str">
            <v>2058</v>
          </cell>
          <cell r="B362" t="str">
            <v>PASCUAS</v>
          </cell>
          <cell r="C362" t="str">
            <v>Medio huevo relleno</v>
          </cell>
          <cell r="D362"/>
        </row>
        <row r="363">
          <cell r="A363" t="str">
            <v>2059</v>
          </cell>
          <cell r="B363" t="str">
            <v>PASCUAS</v>
          </cell>
          <cell r="C363" t="str">
            <v>Huevo (con copa del mundo) 225 gr</v>
          </cell>
          <cell r="D363"/>
        </row>
        <row r="364">
          <cell r="A364" t="str">
            <v>2060</v>
          </cell>
          <cell r="B364" t="str">
            <v>PASCUAS</v>
          </cell>
          <cell r="C364" t="str">
            <v xml:space="preserve">Copa del mundo </v>
          </cell>
          <cell r="D364"/>
        </row>
        <row r="365">
          <cell r="A365" t="str">
            <v>2061</v>
          </cell>
          <cell r="B365" t="str">
            <v>PASCUAS</v>
          </cell>
          <cell r="C365" t="str">
            <v xml:space="preserve">Huevos grandes </v>
          </cell>
          <cell r="D365"/>
        </row>
        <row r="366">
          <cell r="A366" t="str">
            <v>2062</v>
          </cell>
          <cell r="B366" t="str">
            <v>PASCUAS</v>
          </cell>
          <cell r="C366" t="str">
            <v xml:space="preserve">Chupetines chicos </v>
          </cell>
          <cell r="D366"/>
        </row>
        <row r="367">
          <cell r="A367" t="str">
            <v>2063</v>
          </cell>
          <cell r="B367" t="str">
            <v>PASCUAS</v>
          </cell>
          <cell r="C367" t="str">
            <v xml:space="preserve">Chupetines medianos </v>
          </cell>
          <cell r="D367"/>
        </row>
        <row r="368">
          <cell r="A368" t="str">
            <v>2064</v>
          </cell>
          <cell r="B368" t="str">
            <v>PASCUAS</v>
          </cell>
          <cell r="C368" t="str">
            <v xml:space="preserve">Chupetines grandes </v>
          </cell>
          <cell r="D368"/>
        </row>
        <row r="369">
          <cell r="A369" t="str">
            <v>2065</v>
          </cell>
          <cell r="B369" t="str">
            <v>PASCUAS</v>
          </cell>
          <cell r="C369" t="str">
            <v xml:space="preserve">Roscas rellenas </v>
          </cell>
          <cell r="D369"/>
        </row>
        <row r="370">
          <cell r="A370"/>
          <cell r="B370"/>
          <cell r="C370"/>
          <cell r="D370"/>
        </row>
        <row r="371">
          <cell r="A371"/>
          <cell r="B371"/>
          <cell r="C371" t="str">
            <v>VARIOS</v>
          </cell>
          <cell r="D371"/>
        </row>
        <row r="372">
          <cell r="A372" t="str">
            <v>2101</v>
          </cell>
          <cell r="B372" t="str">
            <v>VARIOS</v>
          </cell>
          <cell r="C372" t="str">
            <v>YERBA PLAYADITO</v>
          </cell>
          <cell r="D372"/>
        </row>
        <row r="373">
          <cell r="A373" t="str">
            <v>2102</v>
          </cell>
          <cell r="B373" t="str">
            <v>VARIOS</v>
          </cell>
          <cell r="C373" t="str">
            <v>OTRAS YERBAS</v>
          </cell>
          <cell r="D373"/>
        </row>
        <row r="374">
          <cell r="A374" t="str">
            <v>2104</v>
          </cell>
          <cell r="B374" t="str">
            <v>PROVEEDOR NUEVO</v>
          </cell>
          <cell r="C374" t="str">
            <v>CHURRO</v>
          </cell>
          <cell r="D374"/>
        </row>
        <row r="375">
          <cell r="A375" t="str">
            <v>2105</v>
          </cell>
          <cell r="B375" t="str">
            <v>PROVEEDOR NUEVO</v>
          </cell>
          <cell r="C375" t="str">
            <v>CHURRO RELLENO</v>
          </cell>
          <cell r="D375"/>
        </row>
        <row r="376">
          <cell r="A376" t="str">
            <v>2106</v>
          </cell>
          <cell r="B376" t="str">
            <v>PROVEEDOR NUEVO</v>
          </cell>
          <cell r="C376" t="str">
            <v>CHURRO RELLENO + BAÑO</v>
          </cell>
          <cell r="D376"/>
        </row>
        <row r="377">
          <cell r="A377" t="str">
            <v>2107</v>
          </cell>
          <cell r="B377" t="str">
            <v>PROVEEDOR NUEVO</v>
          </cell>
          <cell r="C377" t="str">
            <v>MINICHURROS</v>
          </cell>
          <cell r="D377"/>
        </row>
        <row r="378">
          <cell r="A378" t="str">
            <v>2108</v>
          </cell>
          <cell r="B378" t="str">
            <v>PROVEEDOR NUEVO</v>
          </cell>
          <cell r="C378" t="str">
            <v>CHURROS BOMBON</v>
          </cell>
          <cell r="D378"/>
        </row>
        <row r="379">
          <cell r="A379" t="str">
            <v>2109</v>
          </cell>
          <cell r="B379" t="str">
            <v>PROVEEDOR NUEVO</v>
          </cell>
          <cell r="C379" t="str">
            <v>DONUTS Y BERLINESAS</v>
          </cell>
          <cell r="D379"/>
        </row>
        <row r="380">
          <cell r="A380" t="str">
            <v>2110</v>
          </cell>
          <cell r="B380" t="str">
            <v>PROVEEDOR NUEVO</v>
          </cell>
          <cell r="C380" t="str">
            <v>D Y B RELLENAS</v>
          </cell>
          <cell r="D380"/>
        </row>
        <row r="381">
          <cell r="A381" t="str">
            <v>2111</v>
          </cell>
          <cell r="B381" t="str">
            <v>PROVEEDOR NUEVO</v>
          </cell>
          <cell r="C381" t="str">
            <v>D Y B RELLENAS + BAÑO</v>
          </cell>
          <cell r="D381"/>
        </row>
        <row r="382">
          <cell r="A382" t="str">
            <v>2112</v>
          </cell>
          <cell r="B382" t="str">
            <v>PROVEEDOR NUEVO</v>
          </cell>
          <cell r="C382" t="str">
            <v>D Y B RELLENAS + BAÑO + GLASEADO</v>
          </cell>
          <cell r="D382"/>
        </row>
        <row r="383">
          <cell r="A383" t="str">
            <v>2113</v>
          </cell>
          <cell r="B383" t="str">
            <v>PROVEEDOR NUEVO</v>
          </cell>
          <cell r="C383" t="str">
            <v>PASTELITOS (MEM, BAT, DDL)</v>
          </cell>
          <cell r="D383"/>
        </row>
        <row r="384">
          <cell r="A384" t="str">
            <v>2114</v>
          </cell>
          <cell r="B384" t="str">
            <v>PROVEEDOR NUEVO</v>
          </cell>
          <cell r="C384" t="str">
            <v>D Y B RELLENAS + BAÑO x UNIDAD</v>
          </cell>
          <cell r="D384"/>
        </row>
        <row r="385">
          <cell r="A385"/>
          <cell r="B385"/>
          <cell r="C385" t="str">
            <v>SNACKS</v>
          </cell>
          <cell r="D385"/>
        </row>
        <row r="386">
          <cell r="A386" t="str">
            <v>2150</v>
          </cell>
          <cell r="B386" t="str">
            <v>SNACKS</v>
          </cell>
          <cell r="C386" t="str">
            <v>LAYS CLASICAS X 20GR</v>
          </cell>
          <cell r="D386">
            <v>590.32000000000005</v>
          </cell>
        </row>
        <row r="387">
          <cell r="A387" t="str">
            <v>2151</v>
          </cell>
          <cell r="B387" t="str">
            <v>SNACKS</v>
          </cell>
          <cell r="C387" t="str">
            <v>LAYS CLASICAS X 45GR</v>
          </cell>
          <cell r="D387">
            <v>1062.57</v>
          </cell>
        </row>
        <row r="388">
          <cell r="A388" t="str">
            <v>2152</v>
          </cell>
          <cell r="B388" t="str">
            <v>SNACKS</v>
          </cell>
          <cell r="C388" t="str">
            <v>LAYS CLASICAS X 94GR</v>
          </cell>
          <cell r="D388">
            <v>0</v>
          </cell>
        </row>
        <row r="389">
          <cell r="A389" t="str">
            <v>2153</v>
          </cell>
          <cell r="B389" t="str">
            <v>SNACKS</v>
          </cell>
          <cell r="C389" t="str">
            <v>LAYS CLASICAS X 145GR</v>
          </cell>
          <cell r="D389">
            <v>1770.96</v>
          </cell>
        </row>
        <row r="390">
          <cell r="A390"/>
          <cell r="B390"/>
          <cell r="C390" t="str">
            <v>LAYS ESPECIALES X 45 GR</v>
          </cell>
        </row>
        <row r="391">
          <cell r="A391" t="str">
            <v>2154</v>
          </cell>
          <cell r="B391" t="str">
            <v>SNACKS</v>
          </cell>
          <cell r="C391" t="str">
            <v>QUESO Y PIM - CEBOLLA - KETCHUP</v>
          </cell>
          <cell r="D391">
            <v>0</v>
          </cell>
        </row>
        <row r="392">
          <cell r="A392" t="str">
            <v>2155</v>
          </cell>
          <cell r="B392" t="str">
            <v>SNACKS</v>
          </cell>
          <cell r="C392" t="str">
            <v>JAMON SERRANO - QUESO Y CEB</v>
          </cell>
          <cell r="D392">
            <v>0</v>
          </cell>
        </row>
        <row r="393">
          <cell r="A393"/>
          <cell r="B393"/>
          <cell r="C393" t="str">
            <v>LAYS ESPECIALES X 85 GR</v>
          </cell>
        </row>
        <row r="394">
          <cell r="A394" t="str">
            <v>2156</v>
          </cell>
          <cell r="B394" t="str">
            <v>SNACKS</v>
          </cell>
          <cell r="C394" t="str">
            <v>QUESO Y PIM - CEBOLLA - KETCHUP</v>
          </cell>
          <cell r="D394">
            <v>0</v>
          </cell>
        </row>
        <row r="395">
          <cell r="A395" t="str">
            <v>2157</v>
          </cell>
          <cell r="B395" t="str">
            <v>SNACKS</v>
          </cell>
          <cell r="C395" t="str">
            <v>JAMON SERRANO - QUESO Y CEB</v>
          </cell>
          <cell r="D395">
            <v>1770.96</v>
          </cell>
        </row>
        <row r="396">
          <cell r="A396" t="str">
            <v>2158</v>
          </cell>
          <cell r="B396" t="str">
            <v>SNACKS</v>
          </cell>
          <cell r="C396" t="str">
            <v>DORITOS X 45GR</v>
          </cell>
          <cell r="D396">
            <v>1180.6400000000001</v>
          </cell>
        </row>
        <row r="397">
          <cell r="A397" t="str">
            <v>2159</v>
          </cell>
          <cell r="B397" t="str">
            <v>SNACKS</v>
          </cell>
          <cell r="C397" t="str">
            <v>DORITOS X 85GR</v>
          </cell>
          <cell r="D397">
            <v>0</v>
          </cell>
        </row>
        <row r="398">
          <cell r="A398" t="str">
            <v>2160</v>
          </cell>
          <cell r="B398" t="str">
            <v>SNACKS</v>
          </cell>
          <cell r="C398" t="str">
            <v>DORITOS X 140GR</v>
          </cell>
          <cell r="D398">
            <v>0</v>
          </cell>
        </row>
        <row r="399">
          <cell r="A399" t="str">
            <v>2161</v>
          </cell>
          <cell r="B399" t="str">
            <v>SNACKS</v>
          </cell>
          <cell r="C399" t="str">
            <v>DORITOS QUESO X 45GR</v>
          </cell>
          <cell r="D399">
            <v>1062.57</v>
          </cell>
        </row>
        <row r="400">
          <cell r="A400" t="str">
            <v>2162</v>
          </cell>
          <cell r="B400" t="str">
            <v>SNACKS</v>
          </cell>
          <cell r="C400" t="str">
            <v>DORITOS QUESO X 85GR</v>
          </cell>
          <cell r="D400">
            <v>1889.02</v>
          </cell>
        </row>
        <row r="401">
          <cell r="A401" t="str">
            <v>2163</v>
          </cell>
          <cell r="B401" t="str">
            <v>SNACKS</v>
          </cell>
          <cell r="C401" t="str">
            <v>CHEETOS X 23GR</v>
          </cell>
          <cell r="D401">
            <v>0</v>
          </cell>
        </row>
        <row r="402">
          <cell r="A402" t="str">
            <v>2164</v>
          </cell>
          <cell r="B402" t="str">
            <v>SNACKS</v>
          </cell>
          <cell r="C402" t="str">
            <v>CHEETOS QUESO X 47GR</v>
          </cell>
          <cell r="D402">
            <v>1062.57</v>
          </cell>
        </row>
        <row r="403">
          <cell r="A403" t="str">
            <v>2165</v>
          </cell>
          <cell r="B403" t="str">
            <v>SNACKS</v>
          </cell>
          <cell r="C403" t="str">
            <v>CHEETOS QUESO X 94GR</v>
          </cell>
          <cell r="D403">
            <v>1770.96</v>
          </cell>
        </row>
        <row r="404">
          <cell r="A404" t="str">
            <v>2166</v>
          </cell>
          <cell r="B404" t="str">
            <v>SNACKS</v>
          </cell>
          <cell r="C404" t="str">
            <v>3 D 43GR</v>
          </cell>
          <cell r="D404">
            <v>1180.6400000000001</v>
          </cell>
        </row>
        <row r="405">
          <cell r="A405" t="str">
            <v>2167</v>
          </cell>
          <cell r="B405" t="str">
            <v>SNACKS</v>
          </cell>
          <cell r="C405" t="str">
            <v>3 D 94GR</v>
          </cell>
          <cell r="D405">
            <v>1880.02</v>
          </cell>
        </row>
        <row r="406">
          <cell r="A406" t="str">
            <v>2168</v>
          </cell>
          <cell r="B406" t="str">
            <v>SNACKS</v>
          </cell>
          <cell r="C406" t="str">
            <v>RUEDITAS 40GR</v>
          </cell>
          <cell r="D406" t="e">
            <v>#REF!</v>
          </cell>
        </row>
        <row r="407">
          <cell r="A407" t="str">
            <v>2169</v>
          </cell>
          <cell r="B407" t="str">
            <v>SNACKS</v>
          </cell>
          <cell r="C407" t="str">
            <v>RUEDITAS 84GR</v>
          </cell>
          <cell r="D407">
            <v>1180.6400000000001</v>
          </cell>
        </row>
        <row r="408">
          <cell r="A408" t="str">
            <v>2170</v>
          </cell>
          <cell r="B408" t="str">
            <v>SNACKS</v>
          </cell>
          <cell r="C408" t="str">
            <v>PEP COMUN 60GR</v>
          </cell>
          <cell r="D408">
            <v>590.32000000000005</v>
          </cell>
        </row>
        <row r="409">
          <cell r="A409" t="str">
            <v>2171</v>
          </cell>
          <cell r="B409" t="str">
            <v>SNACKS</v>
          </cell>
          <cell r="C409" t="str">
            <v>PEP COMUN 84GR</v>
          </cell>
          <cell r="D409">
            <v>0</v>
          </cell>
        </row>
        <row r="410">
          <cell r="A410" t="str">
            <v>2172</v>
          </cell>
          <cell r="B410" t="str">
            <v>SNACKS</v>
          </cell>
          <cell r="C410" t="str">
            <v>PEP COMUN 120GR</v>
          </cell>
          <cell r="D410">
            <v>0</v>
          </cell>
        </row>
        <row r="411">
          <cell r="A411" t="str">
            <v>2173</v>
          </cell>
          <cell r="B411" t="str">
            <v>SNACKS</v>
          </cell>
          <cell r="C411" t="str">
            <v>MANI</v>
          </cell>
          <cell r="D411">
            <v>0</v>
          </cell>
        </row>
        <row r="412">
          <cell r="A412" t="str">
            <v>2174</v>
          </cell>
          <cell r="B412" t="str">
            <v>SNACKS</v>
          </cell>
          <cell r="C412" t="str">
            <v>PEPAS PEHUAMAR</v>
          </cell>
          <cell r="D412">
            <v>0</v>
          </cell>
        </row>
        <row r="413">
          <cell r="A413" t="str">
            <v>2175</v>
          </cell>
          <cell r="B413" t="str">
            <v>SNACKS</v>
          </cell>
          <cell r="C413" t="str">
            <v>PEPE RAMITAS QUESO X40GR</v>
          </cell>
          <cell r="D413">
            <v>590.32000000000005</v>
          </cell>
        </row>
        <row r="414">
          <cell r="A414" t="str">
            <v>2176</v>
          </cell>
          <cell r="B414" t="str">
            <v>SNACKS</v>
          </cell>
          <cell r="C414" t="str">
            <v>PEPE RAMITAS QUESO X84GR</v>
          </cell>
          <cell r="D414">
            <v>0</v>
          </cell>
        </row>
        <row r="415">
          <cell r="A415"/>
          <cell r="B415"/>
          <cell r="C415"/>
          <cell r="D415">
            <v>0</v>
          </cell>
        </row>
        <row r="416">
          <cell r="A416"/>
          <cell r="B416"/>
          <cell r="C416" t="str">
            <v>LASERENISIMA</v>
          </cell>
        </row>
        <row r="417">
          <cell r="A417" t="str">
            <v>2201</v>
          </cell>
          <cell r="B417" t="str">
            <v>LASERENISIMA</v>
          </cell>
          <cell r="C417" t="str">
            <v>LECHE SACHET</v>
          </cell>
          <cell r="D417">
            <v>1135.4000000000001</v>
          </cell>
        </row>
        <row r="418">
          <cell r="A418" t="str">
            <v>2202</v>
          </cell>
          <cell r="B418" t="str">
            <v>LASERENISIMA</v>
          </cell>
          <cell r="C418" t="str">
            <v>LECHE LARGAVIDA</v>
          </cell>
          <cell r="D418">
            <v>1425</v>
          </cell>
        </row>
        <row r="419">
          <cell r="A419" t="str">
            <v>2203</v>
          </cell>
          <cell r="B419" t="str">
            <v>LASERENISIMA</v>
          </cell>
          <cell r="C419" t="str">
            <v>CINDOR</v>
          </cell>
          <cell r="D419">
            <v>2979.04</v>
          </cell>
        </row>
        <row r="420">
          <cell r="A420" t="str">
            <v>2204</v>
          </cell>
          <cell r="B420" t="str">
            <v>LASERENISIMA</v>
          </cell>
          <cell r="C420" t="str">
            <v>CINDOR BRICK</v>
          </cell>
          <cell r="D420">
            <v>2979.04</v>
          </cell>
        </row>
        <row r="421">
          <cell r="A421" t="str">
            <v>2205</v>
          </cell>
          <cell r="B421" t="str">
            <v>LASERENISIMA</v>
          </cell>
          <cell r="C421" t="str">
            <v>CHOCO TRES NIÑAS X 200</v>
          </cell>
          <cell r="D421">
            <v>0</v>
          </cell>
        </row>
        <row r="422">
          <cell r="A422" t="str">
            <v>2206</v>
          </cell>
          <cell r="B422" t="str">
            <v>LASERENISIMA</v>
          </cell>
          <cell r="C422" t="str">
            <v>CHOCO TRES NIÑAS X 1 LTR</v>
          </cell>
          <cell r="D422">
            <v>0</v>
          </cell>
        </row>
        <row r="423">
          <cell r="A423" t="str">
            <v>2207</v>
          </cell>
          <cell r="B423" t="str">
            <v>LASERENISIMA</v>
          </cell>
          <cell r="C423" t="str">
            <v>CHOCO BAGGIO X 200</v>
          </cell>
          <cell r="D423">
            <v>0</v>
          </cell>
        </row>
        <row r="424">
          <cell r="A424" t="str">
            <v>2208</v>
          </cell>
          <cell r="B424" t="str">
            <v>LASERENISIMA</v>
          </cell>
          <cell r="C424" t="str">
            <v>CINDOR CHICA</v>
          </cell>
          <cell r="D424">
            <v>1048.3900000000001</v>
          </cell>
        </row>
        <row r="425">
          <cell r="A425" t="str">
            <v>2209</v>
          </cell>
          <cell r="B425" t="str">
            <v>LASERENISIMA</v>
          </cell>
          <cell r="C425" t="str">
            <v>CINDOR GRANDE</v>
          </cell>
          <cell r="D425">
            <v>2754.29</v>
          </cell>
        </row>
        <row r="426">
          <cell r="A426" t="str">
            <v>2210</v>
          </cell>
          <cell r="B426" t="str">
            <v>LASERENISIMA</v>
          </cell>
          <cell r="C426" t="str">
            <v>CHOCOLATADA NESQUIK</v>
          </cell>
          <cell r="D426">
            <v>0</v>
          </cell>
        </row>
        <row r="427">
          <cell r="A427"/>
          <cell r="B427"/>
          <cell r="C427" t="str">
            <v>PRODUCTOS SIN TACC</v>
          </cell>
        </row>
        <row r="428">
          <cell r="A428" t="str">
            <v>2250</v>
          </cell>
          <cell r="B428" t="str">
            <v>PRODUCTOS SIN TACC</v>
          </cell>
          <cell r="C428" t="str">
            <v>Pizza Individual Con queso</v>
          </cell>
          <cell r="D428">
            <v>0</v>
          </cell>
        </row>
        <row r="429">
          <cell r="A429" t="str">
            <v>2251</v>
          </cell>
          <cell r="B429" t="str">
            <v>PRODUCTOS SIN TACC</v>
          </cell>
          <cell r="C429" t="str">
            <v>Galletitas de queso</v>
          </cell>
          <cell r="D429">
            <v>3862</v>
          </cell>
        </row>
        <row r="430">
          <cell r="A430" t="str">
            <v>2252</v>
          </cell>
          <cell r="B430" t="str">
            <v>PRODUCTOS SIN TACC</v>
          </cell>
          <cell r="C430" t="str">
            <v>Tarta Calabaza y queso</v>
          </cell>
          <cell r="D430">
            <v>6000</v>
          </cell>
        </row>
        <row r="431">
          <cell r="A431" t="str">
            <v>2253</v>
          </cell>
          <cell r="B431" t="str">
            <v>PRODUCTOS SIN TACC</v>
          </cell>
          <cell r="C431" t="str">
            <v>Tarta Jamón y queso</v>
          </cell>
          <cell r="D431">
            <v>0</v>
          </cell>
        </row>
        <row r="432">
          <cell r="A432" t="str">
            <v>2254</v>
          </cell>
          <cell r="B432" t="str">
            <v>PRODUCTOS SIN TACC</v>
          </cell>
          <cell r="C432" t="str">
            <v>Tarta Zapallitos</v>
          </cell>
          <cell r="D432">
            <v>0</v>
          </cell>
        </row>
        <row r="433">
          <cell r="A433" t="str">
            <v>2255</v>
          </cell>
          <cell r="B433" t="str">
            <v>PRODUCTOS SIN TACC</v>
          </cell>
          <cell r="C433" t="str">
            <v>Alfajorcitos de maicena x6</v>
          </cell>
          <cell r="D433">
            <v>736.66666666666663</v>
          </cell>
        </row>
        <row r="434">
          <cell r="A434" t="str">
            <v>2256</v>
          </cell>
          <cell r="B434" t="str">
            <v>PRODUCTOS SIN TACC</v>
          </cell>
          <cell r="C434" t="str">
            <v>Alfajor de chocolate Negro</v>
          </cell>
          <cell r="D434">
            <v>2432</v>
          </cell>
        </row>
        <row r="435">
          <cell r="A435" t="str">
            <v>2257</v>
          </cell>
          <cell r="B435" t="str">
            <v>PRODUCTOS SIN TACC</v>
          </cell>
          <cell r="C435" t="str">
            <v>Cuadrado Brownie con nueces</v>
          </cell>
          <cell r="D435">
            <v>5088</v>
          </cell>
        </row>
        <row r="436">
          <cell r="A436" t="str">
            <v>2258</v>
          </cell>
          <cell r="B436" t="str">
            <v>PRODUCTOS SIN TACC</v>
          </cell>
          <cell r="C436" t="str">
            <v>Cuadrado Carrot Cake</v>
          </cell>
          <cell r="D436">
            <v>5088</v>
          </cell>
        </row>
        <row r="437">
          <cell r="A437" t="str">
            <v>2259</v>
          </cell>
          <cell r="B437" t="str">
            <v>PRODUCTOS SIN TACC</v>
          </cell>
          <cell r="C437" t="str">
            <v>Cuadrado Coco y dulce de leche</v>
          </cell>
          <cell r="D437">
            <v>4590</v>
          </cell>
        </row>
        <row r="438">
          <cell r="A438" t="str">
            <v>2260</v>
          </cell>
          <cell r="B438" t="str">
            <v>PRODUCTOS SIN TACC</v>
          </cell>
          <cell r="C438" t="str">
            <v xml:space="preserve">Cuadrado Lemonie </v>
          </cell>
          <cell r="D438">
            <v>4590</v>
          </cell>
        </row>
        <row r="439">
          <cell r="A439" t="str">
            <v>2261</v>
          </cell>
          <cell r="B439" t="str">
            <v>PRODUCTOS SIN TACC</v>
          </cell>
          <cell r="C439" t="str">
            <v>Budin de Chips de chocolate</v>
          </cell>
          <cell r="D439">
            <v>5205</v>
          </cell>
        </row>
        <row r="440">
          <cell r="A440" t="str">
            <v>2262</v>
          </cell>
          <cell r="B440" t="str">
            <v>PRODUCTOS SIN TACC</v>
          </cell>
          <cell r="C440" t="str">
            <v>Cookis x 2 un</v>
          </cell>
          <cell r="D440">
            <v>0</v>
          </cell>
        </row>
        <row r="441">
          <cell r="A441" t="str">
            <v>2263</v>
          </cell>
          <cell r="B441" t="str">
            <v>PRODUCTOS SIN TACC</v>
          </cell>
          <cell r="C441" t="str">
            <v>Prepizza</v>
          </cell>
          <cell r="D441">
            <v>5205</v>
          </cell>
        </row>
        <row r="442">
          <cell r="A442" t="str">
            <v>2264</v>
          </cell>
          <cell r="B442" t="str">
            <v>PRODUCTOS SIN TACC</v>
          </cell>
          <cell r="C442" t="str">
            <v>Pan d Molde</v>
          </cell>
          <cell r="D442">
            <v>8089</v>
          </cell>
        </row>
        <row r="443">
          <cell r="A443"/>
          <cell r="B443"/>
          <cell r="C443"/>
          <cell r="D443"/>
        </row>
        <row r="444">
          <cell r="A444"/>
          <cell r="B444"/>
          <cell r="C444" t="str">
            <v>LATA COCIDA</v>
          </cell>
          <cell r="D444"/>
        </row>
        <row r="445">
          <cell r="A445" t="str">
            <v>2301</v>
          </cell>
          <cell r="B445" t="str">
            <v>LATA COCIDA</v>
          </cell>
          <cell r="C445" t="str">
            <v>LATA NEGRITO Y FIGASA</v>
          </cell>
          <cell r="D445">
            <v>1947.5191249999998</v>
          </cell>
        </row>
        <row r="446">
          <cell r="A446" t="str">
            <v>2302</v>
          </cell>
          <cell r="B446" t="str">
            <v>LATA COCIDA</v>
          </cell>
          <cell r="C446" t="str">
            <v>LATA ZAPATILLA</v>
          </cell>
          <cell r="D446">
            <v>1921.2936666666669</v>
          </cell>
        </row>
        <row r="447">
          <cell r="A447" t="str">
            <v>2303</v>
          </cell>
          <cell r="B447" t="str">
            <v>LATA COCIDA</v>
          </cell>
          <cell r="C447" t="str">
            <v>LATA FACTURAS</v>
          </cell>
          <cell r="D447"/>
        </row>
        <row r="448">
          <cell r="A448" t="str">
            <v>2304</v>
          </cell>
          <cell r="B448" t="str">
            <v>LATA COCIDA</v>
          </cell>
          <cell r="C448" t="str">
            <v>LATA MEDIALUNA MANTECA</v>
          </cell>
          <cell r="D448">
            <v>2726.0349851851852</v>
          </cell>
        </row>
        <row r="449">
          <cell r="A449" t="str">
            <v>2305</v>
          </cell>
          <cell r="B449" t="str">
            <v>LATA COCIDA</v>
          </cell>
          <cell r="C449" t="str">
            <v>LATA SURTIDO DE GRASA</v>
          </cell>
          <cell r="D449">
            <v>1200.1366666666668</v>
          </cell>
        </row>
        <row r="450">
          <cell r="A450" t="str">
            <v>2306</v>
          </cell>
          <cell r="B450" t="str">
            <v>LATA COCIDA</v>
          </cell>
          <cell r="C450" t="str">
            <v>LATA SURTIDO DE MANTECA</v>
          </cell>
          <cell r="D450">
            <v>2726.0349851851852</v>
          </cell>
        </row>
        <row r="451">
          <cell r="A451" t="str">
            <v>2307</v>
          </cell>
          <cell r="B451" t="str">
            <v>LATA COCIDA</v>
          </cell>
          <cell r="C451" t="str">
            <v>LATA FIGASA</v>
          </cell>
          <cell r="D451">
            <v>1962.8467999999998</v>
          </cell>
        </row>
        <row r="452">
          <cell r="A452" t="str">
            <v>2308</v>
          </cell>
          <cell r="B452" t="str">
            <v>LATA COCIDA</v>
          </cell>
          <cell r="C452" t="str">
            <v xml:space="preserve">LATA NEGRITO   </v>
          </cell>
          <cell r="D452">
            <v>1932.19145</v>
          </cell>
        </row>
        <row r="453">
          <cell r="A453" t="str">
            <v>2309</v>
          </cell>
          <cell r="B453" t="str">
            <v>LATA COCIDA</v>
          </cell>
          <cell r="C453" t="str">
            <v>LATA GALLETA</v>
          </cell>
          <cell r="D453">
            <v>771.24198000000001</v>
          </cell>
        </row>
        <row r="454">
          <cell r="A454" t="str">
            <v>2310</v>
          </cell>
          <cell r="B454" t="str">
            <v>LATA COCIDA</v>
          </cell>
          <cell r="C454" t="str">
            <v>LATA GALLETA DE QUESO</v>
          </cell>
          <cell r="D454">
            <v>1551.3092999999999</v>
          </cell>
        </row>
        <row r="455">
          <cell r="A455" t="str">
            <v>2311</v>
          </cell>
          <cell r="B455" t="str">
            <v>LATA COCIDA</v>
          </cell>
          <cell r="C455" t="str">
            <v>LATA DE GALLETA DE CHICHA</v>
          </cell>
          <cell r="D455">
            <v>1011.24198</v>
          </cell>
        </row>
        <row r="456">
          <cell r="A456" t="str">
            <v>2312</v>
          </cell>
          <cell r="B456" t="str">
            <v>LATA COCIDA</v>
          </cell>
          <cell r="C456" t="str">
            <v>LATA SABORIZADO</v>
          </cell>
          <cell r="D456">
            <v>2069.48405</v>
          </cell>
        </row>
        <row r="457">
          <cell r="A457" t="str">
            <v>2313</v>
          </cell>
          <cell r="B457" t="str">
            <v>LATA COCIDA</v>
          </cell>
          <cell r="C457" t="str">
            <v>LATA BIZCOCHO</v>
          </cell>
          <cell r="D457"/>
        </row>
        <row r="458">
          <cell r="A458" t="str">
            <v>2314</v>
          </cell>
          <cell r="B458" t="str">
            <v>LATA COCIDA</v>
          </cell>
          <cell r="C458" t="str">
            <v>LATA CHIPA</v>
          </cell>
          <cell r="D458">
            <v>7591.9675555555559</v>
          </cell>
        </row>
        <row r="459">
          <cell r="A459" t="str">
            <v>2315</v>
          </cell>
          <cell r="B459" t="str">
            <v>LATA COCIDA</v>
          </cell>
          <cell r="C459" t="str">
            <v>LATA MEDIALUNA DE GRASA</v>
          </cell>
          <cell r="D459"/>
        </row>
        <row r="460">
          <cell r="A460" t="str">
            <v>2316</v>
          </cell>
          <cell r="B460" t="str">
            <v>LATA COCIDA</v>
          </cell>
          <cell r="C460" t="str">
            <v>LATA MEDIALUNA CON DDL O PASTELERA</v>
          </cell>
          <cell r="D460"/>
        </row>
        <row r="461">
          <cell r="A461" t="str">
            <v>2317</v>
          </cell>
          <cell r="B461" t="str">
            <v>LATA COCIDA</v>
          </cell>
          <cell r="C461" t="str">
            <v>LATA LENGUITA</v>
          </cell>
          <cell r="D461">
            <v>494.18377142857139</v>
          </cell>
        </row>
        <row r="462">
          <cell r="A462" t="str">
            <v>2318</v>
          </cell>
          <cell r="B462" t="str">
            <v>LATA COCIDA</v>
          </cell>
          <cell r="C462" t="str">
            <v>LATA PALITO DE GRASA</v>
          </cell>
          <cell r="D462">
            <v>576.54773333333321</v>
          </cell>
        </row>
        <row r="463">
          <cell r="A463" t="str">
            <v>2319</v>
          </cell>
          <cell r="B463" t="str">
            <v>LATA COCIDA</v>
          </cell>
          <cell r="C463" t="str">
            <v>LATA HOJALDRE CON DDL</v>
          </cell>
          <cell r="D463">
            <v>2486.5494666666664</v>
          </cell>
        </row>
        <row r="464">
          <cell r="A464" t="str">
            <v>2320</v>
          </cell>
          <cell r="B464" t="str">
            <v>LATA COCIDA</v>
          </cell>
          <cell r="C464" t="str">
            <v>LATA HOJALDRE CON PASTE Y MEM</v>
          </cell>
          <cell r="D464">
            <v>2486.5494666666664</v>
          </cell>
        </row>
        <row r="465">
          <cell r="A465" t="str">
            <v>2321</v>
          </cell>
          <cell r="B465" t="str">
            <v>LATA COCIDA</v>
          </cell>
          <cell r="C465" t="str">
            <v>LATA TORTA NEGRA</v>
          </cell>
          <cell r="D465">
            <v>2726.0349851851852</v>
          </cell>
        </row>
        <row r="466">
          <cell r="A466" t="str">
            <v>2322</v>
          </cell>
          <cell r="B466" t="str">
            <v>LATA COCIDA</v>
          </cell>
          <cell r="C466" t="str">
            <v>LATA PIZZA</v>
          </cell>
          <cell r="D466">
            <v>702.57028571428566</v>
          </cell>
        </row>
        <row r="467">
          <cell r="A467" t="str">
            <v>2323</v>
          </cell>
          <cell r="B467" t="str">
            <v>LATA COCIDA</v>
          </cell>
          <cell r="C467" t="str">
            <v>LATA CUERNITO</v>
          </cell>
          <cell r="D467">
            <v>4526.1851333333334</v>
          </cell>
        </row>
        <row r="468">
          <cell r="A468" t="str">
            <v>2324</v>
          </cell>
          <cell r="B468" t="str">
            <v>LATA COCIDA</v>
          </cell>
          <cell r="C468" t="str">
            <v>LATA SURTIDO DOBLE MANTECA</v>
          </cell>
          <cell r="D468"/>
        </row>
        <row r="469">
          <cell r="A469" t="str">
            <v>2350</v>
          </cell>
          <cell r="B469" t="str">
            <v>LATA COCIDA</v>
          </cell>
          <cell r="C469" t="str">
            <v>GALLETITAS DULCES - -LATA COCIDA-</v>
          </cell>
          <cell r="D469"/>
        </row>
        <row r="470">
          <cell r="A470" t="str">
            <v>2351</v>
          </cell>
          <cell r="B470" t="str">
            <v>LATA COCIDA</v>
          </cell>
          <cell r="C470" t="str">
            <v>GALLETITAS DULCES - Palmeritas -LATA COCIDA-</v>
          </cell>
          <cell r="D470">
            <v>1918.9906249999999</v>
          </cell>
        </row>
        <row r="471">
          <cell r="A471" t="str">
            <v>2352</v>
          </cell>
          <cell r="B471" t="str">
            <v>LATA COCIDA</v>
          </cell>
          <cell r="C471" t="str">
            <v>GALLETITAS DULCES - Membrillitos -LATA COCIDA-</v>
          </cell>
          <cell r="D471">
            <v>2558.6541666666662</v>
          </cell>
        </row>
        <row r="472">
          <cell r="A472"/>
          <cell r="B472"/>
          <cell r="C472" t="str">
            <v>LATA CRUDA</v>
          </cell>
          <cell r="D472"/>
        </row>
        <row r="473">
          <cell r="A473" t="str">
            <v>2401</v>
          </cell>
          <cell r="B473" t="str">
            <v>LATA CRUDA</v>
          </cell>
          <cell r="C473" t="str">
            <v xml:space="preserve">BAGUETTE </v>
          </cell>
          <cell r="D473">
            <v>811.79238333333331</v>
          </cell>
        </row>
        <row r="474">
          <cell r="A474" t="str">
            <v>2402</v>
          </cell>
          <cell r="B474" t="str">
            <v>LATA CRUDA</v>
          </cell>
          <cell r="C474" t="str">
            <v>BAGUETTIN</v>
          </cell>
          <cell r="D474">
            <v>811.79238333333331</v>
          </cell>
        </row>
        <row r="475">
          <cell r="A475" t="str">
            <v>2403</v>
          </cell>
          <cell r="B475" t="str">
            <v>LATA CRUDA</v>
          </cell>
          <cell r="C475" t="str">
            <v>FLAUTITA</v>
          </cell>
          <cell r="D475">
            <v>811.79238333333331</v>
          </cell>
        </row>
        <row r="476">
          <cell r="A476" t="str">
            <v>2404</v>
          </cell>
          <cell r="B476" t="str">
            <v>LATA CRUDA</v>
          </cell>
          <cell r="C476" t="str">
            <v>MIGÑONCITO</v>
          </cell>
          <cell r="D476">
            <v>811.79238333333331</v>
          </cell>
        </row>
        <row r="477">
          <cell r="A477" t="str">
            <v>2405</v>
          </cell>
          <cell r="B477" t="str">
            <v>LATA CRUDA</v>
          </cell>
          <cell r="C477" t="str">
            <v>SIN SAL</v>
          </cell>
          <cell r="D477">
            <v>534.52825555555546</v>
          </cell>
        </row>
        <row r="478">
          <cell r="A478" t="str">
            <v>2406</v>
          </cell>
          <cell r="B478" t="str">
            <v>LATA CRUDA</v>
          </cell>
          <cell r="C478" t="str">
            <v>FELIPE</v>
          </cell>
          <cell r="D478">
            <v>811.79238333333331</v>
          </cell>
        </row>
        <row r="479">
          <cell r="A479" t="str">
            <v>2407</v>
          </cell>
          <cell r="B479" t="str">
            <v>LATA CRUDA</v>
          </cell>
          <cell r="C479" t="str">
            <v>REDONDO DE SALVADO</v>
          </cell>
          <cell r="D479">
            <v>1932.19145</v>
          </cell>
        </row>
        <row r="480">
          <cell r="A480" t="str">
            <v>2408</v>
          </cell>
          <cell r="B480" t="str">
            <v>LATA CRUDA</v>
          </cell>
          <cell r="C480" t="str">
            <v>MIGÑON SALVADO</v>
          </cell>
          <cell r="D480"/>
        </row>
        <row r="481">
          <cell r="A481" t="str">
            <v>2409</v>
          </cell>
          <cell r="B481" t="str">
            <v>LATA CRUDA</v>
          </cell>
          <cell r="C481" t="str">
            <v>CHIPS</v>
          </cell>
          <cell r="D481"/>
        </row>
        <row r="482">
          <cell r="A482" t="str">
            <v>2410</v>
          </cell>
          <cell r="B482" t="str">
            <v>LATA CRUDA</v>
          </cell>
          <cell r="C482" t="str">
            <v>PAN HAMBURGUESA CHICO ( 20 UNIDADES )</v>
          </cell>
          <cell r="D482">
            <v>1926.8984500000001</v>
          </cell>
        </row>
        <row r="483">
          <cell r="A483" t="str">
            <v>2411</v>
          </cell>
          <cell r="B483" t="str">
            <v>LATA CRUDA</v>
          </cell>
          <cell r="C483" t="str">
            <v>PAN HAMBURGUESA GRANDE</v>
          </cell>
          <cell r="D483">
            <v>1926.8984500000001</v>
          </cell>
        </row>
        <row r="484">
          <cell r="A484" t="str">
            <v>2413</v>
          </cell>
          <cell r="B484" t="str">
            <v>LATA CRUDA</v>
          </cell>
          <cell r="C484" t="str">
            <v>PAN PANCHO CHICO ( 30 UNIDADES )</v>
          </cell>
          <cell r="D484">
            <v>1027.1461666666669</v>
          </cell>
        </row>
        <row r="485">
          <cell r="A485" t="str">
            <v>2414</v>
          </cell>
          <cell r="B485" t="str">
            <v>LATA CRUDA</v>
          </cell>
          <cell r="C485" t="str">
            <v>PAN SUPERPANCHO ( 30 UNIDADES )</v>
          </cell>
          <cell r="D485">
            <v>3081.4384999999997</v>
          </cell>
        </row>
        <row r="486">
          <cell r="A486" t="str">
            <v>2416</v>
          </cell>
          <cell r="B486" t="str">
            <v>LATA CRUDA</v>
          </cell>
          <cell r="C486" t="str">
            <v>PAN DE CAMPO</v>
          </cell>
          <cell r="D486">
            <v>1533.3851875</v>
          </cell>
        </row>
        <row r="487">
          <cell r="A487" t="str">
            <v>2417</v>
          </cell>
          <cell r="B487" t="str">
            <v>LATA CRUDA</v>
          </cell>
          <cell r="C487" t="str">
            <v>PAN ARABE ( lata cruda x 6 )</v>
          </cell>
          <cell r="D487">
            <v>268.19956989247311</v>
          </cell>
        </row>
        <row r="488">
          <cell r="A488" t="str">
            <v>2418</v>
          </cell>
          <cell r="B488" t="str">
            <v>LATA CRUDA</v>
          </cell>
          <cell r="C488" t="str">
            <v>TORTA FRITA X UNIDAD</v>
          </cell>
          <cell r="D488">
            <v>40.065674999999999</v>
          </cell>
        </row>
        <row r="489">
          <cell r="A489" t="str">
            <v>2419</v>
          </cell>
          <cell r="B489" t="str">
            <v>LATA CRUDA</v>
          </cell>
          <cell r="C489" t="str">
            <v>PLANCHA CON CHICHARRON ( 3,1 KG )</v>
          </cell>
          <cell r="D489">
            <v>2022.48396</v>
          </cell>
        </row>
        <row r="490">
          <cell r="A490" t="str">
            <v>2420</v>
          </cell>
          <cell r="B490" t="str">
            <v>LATA CRUDA</v>
          </cell>
          <cell r="C490" t="str">
            <v>PLANCHA CON GRASA (3,5 KG)</v>
          </cell>
          <cell r="D490">
            <v>1542.48396</v>
          </cell>
        </row>
        <row r="491">
          <cell r="A491" t="str">
            <v>2421</v>
          </cell>
          <cell r="B491" t="str">
            <v>LATA CRUDA</v>
          </cell>
          <cell r="C491" t="str">
            <v>CUADRADITOS</v>
          </cell>
          <cell r="D491">
            <v>771.24198000000001</v>
          </cell>
        </row>
        <row r="492">
          <cell r="A492" t="str">
            <v>2422</v>
          </cell>
          <cell r="B492" t="str">
            <v>LATA CRUDA</v>
          </cell>
          <cell r="C492" t="str">
            <v>CHIPA</v>
          </cell>
          <cell r="D492">
            <v>7591.9675555555559</v>
          </cell>
        </row>
        <row r="493">
          <cell r="A493" t="str">
            <v>2423</v>
          </cell>
          <cell r="B493" t="str">
            <v>LATA CRUDA</v>
          </cell>
          <cell r="C493" t="str">
            <v>CREMONAS</v>
          </cell>
          <cell r="D493">
            <v>4526.1851333333334</v>
          </cell>
        </row>
        <row r="494">
          <cell r="A494" t="str">
            <v>2424</v>
          </cell>
          <cell r="B494" t="str">
            <v>LATA CRUDA</v>
          </cell>
          <cell r="C494" t="str">
            <v>CREMONAS AKTIVAS (C/ CEREAL) x unidad</v>
          </cell>
          <cell r="D494">
            <v>1961.6919999999998</v>
          </cell>
        </row>
        <row r="495">
          <cell r="A495" t="str">
            <v>2425</v>
          </cell>
          <cell r="B495" t="str">
            <v>LATA CRUDA</v>
          </cell>
          <cell r="C495" t="str">
            <v>CREMONITAS</v>
          </cell>
          <cell r="D495">
            <v>1867.2683428571427</v>
          </cell>
        </row>
        <row r="496">
          <cell r="A496" t="str">
            <v>2426</v>
          </cell>
          <cell r="B496" t="str">
            <v>LATA CRUDA</v>
          </cell>
          <cell r="C496" t="str">
            <v>CREMONA CON CHICHARRON</v>
          </cell>
          <cell r="D496">
            <v>5326.1851333333334</v>
          </cell>
        </row>
        <row r="497">
          <cell r="A497" t="str">
            <v>2428</v>
          </cell>
          <cell r="B497" t="str">
            <v>LATA CRUDA</v>
          </cell>
          <cell r="C497" t="str">
            <v>CUERNITOS</v>
          </cell>
          <cell r="D497">
            <v>2019.0497999999998</v>
          </cell>
        </row>
        <row r="498">
          <cell r="A498" t="str">
            <v>2429</v>
          </cell>
          <cell r="B498" t="str">
            <v>LATA CRUDA</v>
          </cell>
          <cell r="C498" t="str">
            <v>CREMONA J Y Q</v>
          </cell>
          <cell r="D498">
            <v>5343.4884666666667</v>
          </cell>
        </row>
        <row r="499">
          <cell r="A499" t="str">
            <v>2430</v>
          </cell>
          <cell r="B499" t="str">
            <v>LATA CRUDA</v>
          </cell>
          <cell r="C499" t="str">
            <v>CREMONA DULCE</v>
          </cell>
          <cell r="D499">
            <v>4734.8951333333334</v>
          </cell>
        </row>
        <row r="500">
          <cell r="A500" t="str">
            <v>2431</v>
          </cell>
          <cell r="B500" t="str">
            <v>LATA CRUDA</v>
          </cell>
          <cell r="C500" t="str">
            <v>FIGASSA</v>
          </cell>
          <cell r="D500">
            <v>1962.8467999999998</v>
          </cell>
        </row>
        <row r="501">
          <cell r="A501" t="str">
            <v>2439</v>
          </cell>
          <cell r="B501" t="str">
            <v>LATA CRUDA</v>
          </cell>
          <cell r="C501" t="str">
            <v>INDIVIDUAL TOMATE</v>
          </cell>
          <cell r="D501">
            <v>1046.2289600000001</v>
          </cell>
        </row>
        <row r="502">
          <cell r="A502" t="str">
            <v>2440</v>
          </cell>
          <cell r="B502" t="str">
            <v>LATA CRUDA</v>
          </cell>
          <cell r="C502" t="str">
            <v>INDIVIDUAL CEBOLLA</v>
          </cell>
          <cell r="D502"/>
        </row>
        <row r="503">
          <cell r="A503" t="str">
            <v>2441</v>
          </cell>
          <cell r="B503" t="str">
            <v>LATA CRUDA</v>
          </cell>
          <cell r="C503" t="str">
            <v>PIZZETAS</v>
          </cell>
          <cell r="D503">
            <v>1074.3783999999998</v>
          </cell>
        </row>
        <row r="504">
          <cell r="A504" t="str">
            <v>2442</v>
          </cell>
          <cell r="B504" t="str">
            <v>LATA CRUDA</v>
          </cell>
          <cell r="C504" t="str">
            <v>CROISSANT</v>
          </cell>
          <cell r="D504">
            <v>2889.8002666666671</v>
          </cell>
        </row>
        <row r="505">
          <cell r="A505" t="str">
            <v>2443</v>
          </cell>
          <cell r="B505" t="str">
            <v>LATA CRUDA</v>
          </cell>
          <cell r="C505" t="str">
            <v>MEDIA LUNA MANTECA</v>
          </cell>
          <cell r="D505">
            <v>2726.0349851851852</v>
          </cell>
        </row>
        <row r="506">
          <cell r="A506" t="str">
            <v>2444</v>
          </cell>
          <cell r="B506" t="str">
            <v>LATA CRUDA</v>
          </cell>
          <cell r="C506" t="str">
            <v>VIGILANTES MANTECA</v>
          </cell>
          <cell r="D506"/>
        </row>
        <row r="507">
          <cell r="A507" t="str">
            <v>2445</v>
          </cell>
          <cell r="B507" t="str">
            <v>LATA CRUDA</v>
          </cell>
          <cell r="C507" t="str">
            <v>PAN DE LECHE</v>
          </cell>
          <cell r="D507">
            <v>2142.7334074074074</v>
          </cell>
        </row>
        <row r="508">
          <cell r="A508" t="str">
            <v>2446</v>
          </cell>
          <cell r="B508" t="str">
            <v>LATA CRUDA</v>
          </cell>
          <cell r="C508" t="str">
            <v>TORTITA NEGRA</v>
          </cell>
          <cell r="D508">
            <v>2583.3754296296297</v>
          </cell>
        </row>
        <row r="509">
          <cell r="A509" t="str">
            <v>2447</v>
          </cell>
          <cell r="B509" t="str">
            <v>LATA CRUDA</v>
          </cell>
          <cell r="C509" t="str">
            <v>LOCATELLI DE MANTECA</v>
          </cell>
          <cell r="D509">
            <v>3198.6774074074069</v>
          </cell>
        </row>
        <row r="510">
          <cell r="A510" t="str">
            <v>2448</v>
          </cell>
          <cell r="B510" t="str">
            <v>LATA CRUDA</v>
          </cell>
          <cell r="C510" t="str">
            <v>SURTIDO DE MANTECA</v>
          </cell>
          <cell r="D510">
            <v>2726.0349851851852</v>
          </cell>
        </row>
        <row r="511">
          <cell r="A511" t="str">
            <v>2449</v>
          </cell>
          <cell r="B511" t="str">
            <v>LATA CRUDA</v>
          </cell>
          <cell r="C511" t="str">
            <v>LENGUITA FACTURAS</v>
          </cell>
          <cell r="D511">
            <v>494.18377142857139</v>
          </cell>
        </row>
        <row r="512">
          <cell r="A512" t="str">
            <v>2450</v>
          </cell>
          <cell r="B512" t="str">
            <v>LATA CRUDA</v>
          </cell>
          <cell r="C512" t="str">
            <v>MEDIA LUNA GRASA</v>
          </cell>
          <cell r="D512">
            <v>1200.1366666666668</v>
          </cell>
        </row>
        <row r="513">
          <cell r="A513" t="str">
            <v>2451</v>
          </cell>
          <cell r="B513" t="str">
            <v>LATA CRUDA</v>
          </cell>
          <cell r="C513" t="str">
            <v>PALITOS DE GRASA</v>
          </cell>
          <cell r="D513">
            <v>576.54773333333321</v>
          </cell>
        </row>
        <row r="514">
          <cell r="A514" t="str">
            <v>2452</v>
          </cell>
          <cell r="B514" t="str">
            <v>LATA CRUDA</v>
          </cell>
          <cell r="C514" t="str">
            <v>SACRAMENTO / VIGILANTE</v>
          </cell>
          <cell r="D514">
            <v>1326.0574499999998</v>
          </cell>
        </row>
        <row r="515">
          <cell r="A515" t="str">
            <v>2453</v>
          </cell>
          <cell r="B515" t="str">
            <v>LATA CRUDA</v>
          </cell>
          <cell r="C515" t="str">
            <v>SACRAMENTO RELLENO</v>
          </cell>
          <cell r="D515">
            <v>3198.6774074074069</v>
          </cell>
        </row>
        <row r="516">
          <cell r="A516" t="str">
            <v>2454</v>
          </cell>
          <cell r="B516" t="str">
            <v>LATA CRUDA</v>
          </cell>
          <cell r="C516" t="str">
            <v>SURTIDO DE GRASA (VIGILANTE)</v>
          </cell>
          <cell r="D516">
            <v>752.01878260869557</v>
          </cell>
        </row>
        <row r="517">
          <cell r="A517" t="str">
            <v>2455</v>
          </cell>
          <cell r="B517" t="str">
            <v>LATA CRUDA</v>
          </cell>
          <cell r="C517" t="str">
            <v>RECTANGULOS HOJALDRE ( 30 UNIDADES )</v>
          </cell>
          <cell r="D517">
            <v>2486.5494666666664</v>
          </cell>
        </row>
        <row r="518">
          <cell r="A518" t="str">
            <v>2456</v>
          </cell>
          <cell r="B518" t="str">
            <v>LATA CRUDA</v>
          </cell>
          <cell r="C518" t="str">
            <v>VAL AU VENT ( REDONDO )</v>
          </cell>
          <cell r="D518">
            <v>2486.5494666666664</v>
          </cell>
        </row>
        <row r="519">
          <cell r="A519" t="str">
            <v>2457</v>
          </cell>
          <cell r="B519" t="str">
            <v>LATA CRUDA</v>
          </cell>
          <cell r="C519" t="str">
            <v>PALMERAS</v>
          </cell>
          <cell r="D519"/>
        </row>
        <row r="520">
          <cell r="A520" t="str">
            <v>2458</v>
          </cell>
          <cell r="B520" t="str">
            <v>LATA CRUDA</v>
          </cell>
          <cell r="C520" t="str">
            <v>CAÑONCITOS</v>
          </cell>
          <cell r="D520">
            <v>2376.1401249999999</v>
          </cell>
        </row>
        <row r="521">
          <cell r="A521" t="str">
            <v>2460</v>
          </cell>
          <cell r="B521" t="str">
            <v>LATA CRUDA</v>
          </cell>
          <cell r="C521" t="str">
            <v>LATA PEBETE ( 25 UNIDADES )</v>
          </cell>
          <cell r="D521">
            <v>5159.1733333333332</v>
          </cell>
        </row>
        <row r="522">
          <cell r="A522" t="str">
            <v>2461</v>
          </cell>
          <cell r="B522" t="str">
            <v>LATA CRUDA</v>
          </cell>
          <cell r="C522" t="str">
            <v>LATA SABORIZADO</v>
          </cell>
          <cell r="D522">
            <v>2069.48405</v>
          </cell>
        </row>
        <row r="523">
          <cell r="A523" t="str">
            <v>2463</v>
          </cell>
          <cell r="B523" t="str">
            <v>LATA CRUDA</v>
          </cell>
          <cell r="C523" t="str">
            <v>ROSCA DE PASCUA X LATA (3uni)</v>
          </cell>
          <cell r="D523"/>
        </row>
        <row r="524">
          <cell r="A524" t="str">
            <v>2464</v>
          </cell>
          <cell r="B524" t="str">
            <v>LATA CRUDA</v>
          </cell>
          <cell r="C524" t="str">
            <v>CROISSANT GUEREGUERE UNI. CRUDO</v>
          </cell>
          <cell r="D524"/>
        </row>
        <row r="525">
          <cell r="A525" t="str">
            <v>2467</v>
          </cell>
          <cell r="B525" t="str">
            <v>LATA CRUDA</v>
          </cell>
          <cell r="C525" t="str">
            <v>CROISSANT GUERE LATA CRUDA x15 uni</v>
          </cell>
          <cell r="D525">
            <v>2889.8002666666671</v>
          </cell>
        </row>
        <row r="526">
          <cell r="A526" t="str">
            <v>2469</v>
          </cell>
          <cell r="B526" t="str">
            <v>LATA CRUDA</v>
          </cell>
          <cell r="C526" t="str">
            <v>CIABATA GUERE X LATA CRUDA X12UNI</v>
          </cell>
          <cell r="D526">
            <v>1202.7192499999999</v>
          </cell>
        </row>
        <row r="527">
          <cell r="A527" t="str">
            <v>2470</v>
          </cell>
          <cell r="B527" t="str">
            <v>LATA CRUDA</v>
          </cell>
          <cell r="C527" t="str">
            <v>CUADRADITOS CON CHICHARRON</v>
          </cell>
          <cell r="D527">
            <v>1011.24198</v>
          </cell>
        </row>
        <row r="528">
          <cell r="A528" t="str">
            <v>2471</v>
          </cell>
          <cell r="B528" t="str">
            <v>LATA CRUDA</v>
          </cell>
          <cell r="C528" t="str">
            <v xml:space="preserve">PALITOS DE QUESO  (1,0 KG ) </v>
          </cell>
          <cell r="D528">
            <v>3223.3698571428567</v>
          </cell>
        </row>
        <row r="529">
          <cell r="A529" t="str">
            <v>2472</v>
          </cell>
          <cell r="B529" t="str">
            <v>LATA CRUDA</v>
          </cell>
          <cell r="C529" t="str">
            <v>GALLETA DE QUESO (1,5KG )</v>
          </cell>
          <cell r="D529">
            <v>1551.3092999999999</v>
          </cell>
        </row>
        <row r="530">
          <cell r="A530" t="str">
            <v>2473</v>
          </cell>
          <cell r="B530" t="str">
            <v>LATA CRUDA</v>
          </cell>
          <cell r="C530" t="str">
            <v>SCON DE QUESO (1,7 KG )</v>
          </cell>
          <cell r="D530">
            <v>6270.0685502645501</v>
          </cell>
        </row>
        <row r="531">
          <cell r="A531" t="str">
            <v>2474</v>
          </cell>
          <cell r="B531" t="str">
            <v>LATA CRUDA</v>
          </cell>
          <cell r="C531" t="str">
            <v>PAÑUELITOS DE HOJADRE ( MEMBRILLO ) ( 27 UNIDADES )</v>
          </cell>
          <cell r="D531"/>
        </row>
        <row r="532">
          <cell r="A532" t="str">
            <v>2475</v>
          </cell>
          <cell r="B532" t="str">
            <v>LATA CRUDA</v>
          </cell>
          <cell r="C532" t="str">
            <v>CUADRADOS DE HOJALDRE ( 30 UNIDADES )</v>
          </cell>
          <cell r="D532">
            <v>2486.5494666666664</v>
          </cell>
        </row>
        <row r="533">
          <cell r="A533" t="str">
            <v>2476</v>
          </cell>
          <cell r="B533" t="str">
            <v>LATA CRUDA</v>
          </cell>
          <cell r="C533" t="str">
            <v>EMPANADAS VERDURA</v>
          </cell>
          <cell r="D533"/>
        </row>
        <row r="534">
          <cell r="A534" t="str">
            <v>2477</v>
          </cell>
          <cell r="B534" t="str">
            <v>LATA CRUDA</v>
          </cell>
          <cell r="C534" t="str">
            <v>EMPANADAS CARNE</v>
          </cell>
          <cell r="D534">
            <v>4798.7368421052633</v>
          </cell>
        </row>
        <row r="535">
          <cell r="A535" t="str">
            <v>2478</v>
          </cell>
          <cell r="B535" t="str">
            <v>LATA CRUDA</v>
          </cell>
          <cell r="C535" t="str">
            <v>EMPANADAS POLLO</v>
          </cell>
          <cell r="D535">
            <v>778.78947368421052</v>
          </cell>
        </row>
        <row r="536">
          <cell r="A536" t="str">
            <v>2479</v>
          </cell>
          <cell r="B536" t="str">
            <v>LATA CRUDA</v>
          </cell>
          <cell r="C536" t="str">
            <v>EMPANADAS JAMON Y QUESO</v>
          </cell>
          <cell r="D536">
            <v>496.43537500000002</v>
          </cell>
        </row>
        <row r="537">
          <cell r="A537" t="str">
            <v>2480</v>
          </cell>
          <cell r="B537" t="str">
            <v>LATA CRUDA</v>
          </cell>
          <cell r="C537" t="str">
            <v>ZAPATILLAS ( 12 UNIDADES )</v>
          </cell>
          <cell r="D537">
            <v>1921.2936666666669</v>
          </cell>
        </row>
        <row r="538">
          <cell r="A538" t="str">
            <v>2481</v>
          </cell>
          <cell r="B538" t="str">
            <v>LATA CRUDA</v>
          </cell>
          <cell r="C538" t="str">
            <v>CUADRADITOS CON AKTIVO</v>
          </cell>
          <cell r="D538">
            <v>3125.2219999999998</v>
          </cell>
        </row>
        <row r="539">
          <cell r="A539" t="str">
            <v>2482</v>
          </cell>
          <cell r="B539" t="str">
            <v>LATA CRUDA</v>
          </cell>
          <cell r="C539" t="str">
            <v>PAÑUELITOS DE HOJALDRE ( BATATA ) ( 27 UNIDADES )</v>
          </cell>
          <cell r="D539"/>
        </row>
        <row r="540">
          <cell r="A540" t="str">
            <v>2483</v>
          </cell>
          <cell r="B540" t="str">
            <v>LATA CRUDA</v>
          </cell>
          <cell r="C540" t="str">
            <v>MEDIALUNA MULTIGRANO ( 42 UNIDADES )</v>
          </cell>
          <cell r="D540">
            <v>6118.5707666666667</v>
          </cell>
        </row>
        <row r="541">
          <cell r="A541" t="str">
            <v>2484</v>
          </cell>
          <cell r="B541" t="str">
            <v>LATA CRUDA</v>
          </cell>
          <cell r="C541" t="str">
            <v>BIZCHOCHITO DE GRASA</v>
          </cell>
          <cell r="D541">
            <v>1794.7109333333331</v>
          </cell>
        </row>
        <row r="542">
          <cell r="A542" t="str">
            <v>2485</v>
          </cell>
          <cell r="B542" t="str">
            <v>LATA CRUDA</v>
          </cell>
          <cell r="C542" t="str">
            <v>SURTIDO DOBLE MANTECA</v>
          </cell>
          <cell r="D542">
            <v>3416.6936496296294</v>
          </cell>
        </row>
        <row r="543">
          <cell r="A543" t="str">
            <v>2486</v>
          </cell>
          <cell r="B543" t="str">
            <v>LATA CRUDA</v>
          </cell>
          <cell r="C543" t="str">
            <v>PAN DE CAMPO ZEPELLING BLANCO</v>
          </cell>
          <cell r="D543">
            <v>5406.9065777777778</v>
          </cell>
        </row>
        <row r="544">
          <cell r="A544" t="str">
            <v>2487</v>
          </cell>
          <cell r="B544" t="str">
            <v>LATA CRUDA</v>
          </cell>
          <cell r="C544" t="str">
            <v>PAN DE CAMPO ZEPELLING MULTICEREAL</v>
          </cell>
          <cell r="D544">
            <v>5406.9065777777778</v>
          </cell>
        </row>
        <row r="545">
          <cell r="A545" t="str">
            <v>2488</v>
          </cell>
          <cell r="B545" t="str">
            <v>LATA CRUDA</v>
          </cell>
          <cell r="C545" t="str">
            <v>CAJA CONGELADA MED X 60 UNI</v>
          </cell>
          <cell r="D545"/>
        </row>
        <row r="546">
          <cell r="A546"/>
          <cell r="B546"/>
          <cell r="C546" t="str">
            <v>INSUMOS PARA COMERCIALIZAR -FACTURAR</v>
          </cell>
          <cell r="D546"/>
        </row>
        <row r="547">
          <cell r="A547" t="str">
            <v>10001</v>
          </cell>
          <cell r="B547" t="str">
            <v>COMERCIALIZACION</v>
          </cell>
          <cell r="C547" t="str">
            <v>Azucar</v>
          </cell>
          <cell r="D547">
            <v>0</v>
          </cell>
        </row>
        <row r="548">
          <cell r="A548" t="str">
            <v>10002</v>
          </cell>
          <cell r="B548" t="str">
            <v>COMERCIALIZACION</v>
          </cell>
          <cell r="C548" t="str">
            <v>Azucar "Ingenio Marapa "</v>
          </cell>
          <cell r="D548">
            <v>694.30284000000006</v>
          </cell>
        </row>
        <row r="549">
          <cell r="A549" t="str">
            <v>10003</v>
          </cell>
          <cell r="B549" t="str">
            <v>COMERCIALIZACION</v>
          </cell>
          <cell r="C549" t="str">
            <v>Huevos</v>
          </cell>
          <cell r="D549">
            <v>229.22777777777779</v>
          </cell>
        </row>
        <row r="550">
          <cell r="A550" t="str">
            <v>10004</v>
          </cell>
          <cell r="B550" t="str">
            <v>COMERCIALIZACION</v>
          </cell>
          <cell r="C550" t="str">
            <v>Polvo de hornear "Flor"</v>
          </cell>
          <cell r="D550">
            <v>2397.0245200000004</v>
          </cell>
        </row>
        <row r="551">
          <cell r="A551" t="str">
            <v>10005</v>
          </cell>
          <cell r="B551" t="str">
            <v>COMERCIALIZACION</v>
          </cell>
          <cell r="C551" t="str">
            <v xml:space="preserve">Queso en barra "margarita" </v>
          </cell>
          <cell r="D551">
            <v>7366.1133700000009</v>
          </cell>
        </row>
        <row r="552">
          <cell r="A552" t="str">
            <v>10006</v>
          </cell>
          <cell r="B552" t="str">
            <v>COMERCIALIZACION</v>
          </cell>
          <cell r="C552" t="str">
            <v>Jamon Cocido Cuadrado</v>
          </cell>
          <cell r="D552">
            <v>0</v>
          </cell>
        </row>
        <row r="553">
          <cell r="A553" t="str">
            <v>10007</v>
          </cell>
          <cell r="B553" t="str">
            <v>COMERCIALIZACION</v>
          </cell>
          <cell r="C553" t="str">
            <v>Barra de Salame "Sello de Plata"</v>
          </cell>
          <cell r="D553">
            <v>14776.64221</v>
          </cell>
        </row>
        <row r="554">
          <cell r="A554" t="str">
            <v>10008</v>
          </cell>
          <cell r="B554" t="str">
            <v>COMERCIALIZACION</v>
          </cell>
          <cell r="C554" t="str">
            <v>Ddl "Don Uribe"</v>
          </cell>
          <cell r="D554">
            <v>2588.8881699999997</v>
          </cell>
        </row>
        <row r="555">
          <cell r="A555" t="str">
            <v>10009</v>
          </cell>
          <cell r="B555" t="str">
            <v>COMERCIALIZACION</v>
          </cell>
          <cell r="C555" t="str">
            <v>DDL JOSEFINA</v>
          </cell>
          <cell r="D555">
            <v>0</v>
          </cell>
        </row>
        <row r="556">
          <cell r="A556" t="str">
            <v>10010</v>
          </cell>
          <cell r="B556" t="str">
            <v>COMERCIALIZACION</v>
          </cell>
          <cell r="C556" t="str">
            <v>Ddl "Don Uribe"</v>
          </cell>
          <cell r="D556">
            <v>0</v>
          </cell>
        </row>
        <row r="557">
          <cell r="A557" t="str">
            <v>10011</v>
          </cell>
          <cell r="B557" t="str">
            <v>COMERCIALIZACION</v>
          </cell>
          <cell r="C557" t="str">
            <v>Mermelada Membrillo "Pulpabril"</v>
          </cell>
          <cell r="D557">
            <v>4154.6033649999999</v>
          </cell>
        </row>
        <row r="558">
          <cell r="A558" t="str">
            <v>10012</v>
          </cell>
          <cell r="B558" t="str">
            <v>COMERCIALIZACION</v>
          </cell>
          <cell r="C558" t="str">
            <v xml:space="preserve">Mayonesa natura sache </v>
          </cell>
          <cell r="D558">
            <v>4243.8705517241387</v>
          </cell>
        </row>
        <row r="559">
          <cell r="A559" t="str">
            <v>10013</v>
          </cell>
          <cell r="B559" t="str">
            <v>COMERCIALIZACION</v>
          </cell>
          <cell r="C559" t="str">
            <v>Mayonesa natura Individual</v>
          </cell>
          <cell r="D559">
            <v>59.472130208333333</v>
          </cell>
        </row>
        <row r="560">
          <cell r="A560" t="str">
            <v>10014</v>
          </cell>
          <cell r="B560" t="str">
            <v>COMERCIALIZACION</v>
          </cell>
          <cell r="C560" t="str">
            <v>Miel "Don Carlos"</v>
          </cell>
          <cell r="D560">
            <v>4731.1220220000005</v>
          </cell>
        </row>
        <row r="561">
          <cell r="A561" t="str">
            <v>10015</v>
          </cell>
          <cell r="B561" t="str">
            <v>COMERCIALIZACION</v>
          </cell>
          <cell r="C561" t="str">
            <v xml:space="preserve">Leche yatasto </v>
          </cell>
          <cell r="D561">
            <v>1219.2492400000001</v>
          </cell>
        </row>
        <row r="562">
          <cell r="A562" t="str">
            <v>10016</v>
          </cell>
          <cell r="B562" t="str">
            <v>COMERCIALIZACION</v>
          </cell>
          <cell r="C562" t="str">
            <v>Leche la serenísima SACHET</v>
          </cell>
          <cell r="D562">
            <v>1511.2174000000002</v>
          </cell>
        </row>
        <row r="563">
          <cell r="A563" t="str">
            <v>10017</v>
          </cell>
          <cell r="B563" t="str">
            <v>COMERCIALIZACION</v>
          </cell>
          <cell r="C563" t="str">
            <v>Jalea Caliente (circe)</v>
          </cell>
          <cell r="D563">
            <v>0</v>
          </cell>
        </row>
        <row r="564">
          <cell r="A564" t="str">
            <v>10018</v>
          </cell>
          <cell r="B564" t="str">
            <v>COMERCIALIZACION</v>
          </cell>
          <cell r="C564" t="str">
            <v>Miga willy</v>
          </cell>
          <cell r="D564">
            <v>9982.5</v>
          </cell>
        </row>
        <row r="565">
          <cell r="A565" t="str">
            <v>10019</v>
          </cell>
          <cell r="B565" t="str">
            <v>COMERCIALIZACION</v>
          </cell>
          <cell r="C565" t="str">
            <v>Mermelada Membrillo "Dewey"</v>
          </cell>
          <cell r="D565">
            <v>0</v>
          </cell>
        </row>
        <row r="566">
          <cell r="A566" t="str">
            <v>10020</v>
          </cell>
          <cell r="B566" t="str">
            <v>COMERCIALIZACION</v>
          </cell>
          <cell r="C566" t="str">
            <v>Salsa de Soja</v>
          </cell>
          <cell r="D566">
            <v>0</v>
          </cell>
        </row>
        <row r="567">
          <cell r="A567" t="str">
            <v>10021</v>
          </cell>
          <cell r="B567" t="str">
            <v>COMERCIALIZACION</v>
          </cell>
          <cell r="C567" t="str">
            <v>Tapa para empanadas</v>
          </cell>
          <cell r="D567">
            <v>130.43800000000002</v>
          </cell>
        </row>
        <row r="568">
          <cell r="A568" t="str">
            <v>10022</v>
          </cell>
          <cell r="B568" t="str">
            <v>COMERCIALIZACION</v>
          </cell>
          <cell r="C568" t="str">
            <v>Queso Cremato Milkaut</v>
          </cell>
          <cell r="D568">
            <v>7703.478137142858</v>
          </cell>
        </row>
        <row r="569">
          <cell r="A569" t="str">
            <v>10051</v>
          </cell>
          <cell r="B569" t="str">
            <v>COMERCIALIZACION</v>
          </cell>
          <cell r="C569" t="str">
            <v>Miga Bragado</v>
          </cell>
          <cell r="D569">
            <v>0</v>
          </cell>
        </row>
        <row r="570">
          <cell r="A570" t="str">
            <v>10052</v>
          </cell>
          <cell r="B570" t="str">
            <v>COMERCIALIZACION</v>
          </cell>
          <cell r="C570" t="str">
            <v>Aceite</v>
          </cell>
          <cell r="D570">
            <v>1903.3300000000002</v>
          </cell>
        </row>
        <row r="571">
          <cell r="A571" t="str">
            <v>10053</v>
          </cell>
          <cell r="B571" t="str">
            <v>COMERCIALIZACION</v>
          </cell>
          <cell r="C571" t="str">
            <v>Ricota</v>
          </cell>
          <cell r="D571">
            <v>5785.0406533333326</v>
          </cell>
        </row>
        <row r="572">
          <cell r="A572" t="str">
            <v>10054</v>
          </cell>
          <cell r="B572" t="str">
            <v>COMERCIALIZACION</v>
          </cell>
          <cell r="C572" t="str">
            <v>Leche Larga Vida</v>
          </cell>
          <cell r="D572">
            <v>1896.6750000000002</v>
          </cell>
        </row>
        <row r="573">
          <cell r="A573" t="str">
            <v>10055</v>
          </cell>
          <cell r="B573" t="str">
            <v>COMERCIALIZACION</v>
          </cell>
          <cell r="C573" t="str">
            <v>Aderezo Ceaser</v>
          </cell>
          <cell r="D573">
            <v>5486.6748200000002</v>
          </cell>
        </row>
        <row r="574">
          <cell r="A574" t="str">
            <v>10056</v>
          </cell>
          <cell r="B574" t="str">
            <v>COMERCIALIZACION</v>
          </cell>
          <cell r="C574" t="str">
            <v>Pollo</v>
          </cell>
          <cell r="D574">
            <v>0</v>
          </cell>
        </row>
        <row r="575">
          <cell r="A575" t="str">
            <v>10057</v>
          </cell>
          <cell r="B575" t="str">
            <v>COMERCIALIZACION</v>
          </cell>
          <cell r="C575" t="str">
            <v>Queso Brie</v>
          </cell>
          <cell r="D575">
            <v>19403.956880000002</v>
          </cell>
        </row>
        <row r="576">
          <cell r="A576" t="str">
            <v>10058</v>
          </cell>
          <cell r="B576" t="str">
            <v>COMERCIALIZACION</v>
          </cell>
          <cell r="C576" t="str">
            <v>Panceta</v>
          </cell>
          <cell r="D576">
            <v>8454.6184799999992</v>
          </cell>
        </row>
        <row r="577">
          <cell r="A577" t="str">
            <v>10059</v>
          </cell>
          <cell r="B577" t="str">
            <v>COMERCIALIZACION</v>
          </cell>
          <cell r="C577" t="str">
            <v>Crema Pastelera Vacalin</v>
          </cell>
          <cell r="D577">
            <v>8883.2696920000017</v>
          </cell>
        </row>
        <row r="578">
          <cell r="A578" t="str">
            <v>10060</v>
          </cell>
          <cell r="B578" t="str">
            <v>COMERCIALIZACION</v>
          </cell>
          <cell r="C578" t="str">
            <v>Leche Condensanda Nestle</v>
          </cell>
          <cell r="D578">
            <v>9699.7955999999995</v>
          </cell>
        </row>
        <row r="579">
          <cell r="A579" t="str">
            <v>10061</v>
          </cell>
          <cell r="B579" t="str">
            <v>COMERCIALIZACION</v>
          </cell>
          <cell r="C579" t="str">
            <v>Jamon Crudo</v>
          </cell>
          <cell r="D579">
            <v>16331.995569999999</v>
          </cell>
        </row>
        <row r="580">
          <cell r="A580" t="str">
            <v>10062</v>
          </cell>
          <cell r="B580" t="str">
            <v>COMERCIALIZACION</v>
          </cell>
          <cell r="C580" t="str">
            <v>Coco Rallado Indonesia</v>
          </cell>
          <cell r="D580">
            <v>7220.0095000000001</v>
          </cell>
        </row>
        <row r="581">
          <cell r="A581" t="str">
            <v>10063</v>
          </cell>
          <cell r="B581" t="str">
            <v>COMERCIALIZACION</v>
          </cell>
          <cell r="C581" t="str">
            <v>Mapsacuber Marron Boton</v>
          </cell>
          <cell r="D581">
            <v>10127.025303999999</v>
          </cell>
        </row>
        <row r="582">
          <cell r="A582" t="str">
            <v>10064</v>
          </cell>
          <cell r="B582" t="str">
            <v>COMERCIALIZACION</v>
          </cell>
          <cell r="C582" t="str">
            <v>AZUCAR NEGRA X 10KG</v>
          </cell>
          <cell r="D582">
            <v>13015.849</v>
          </cell>
        </row>
        <row r="583">
          <cell r="A583" t="str">
            <v>10065</v>
          </cell>
          <cell r="B583" t="str">
            <v>COMERCIALIZACION</v>
          </cell>
          <cell r="C583" t="str">
            <v>AZUCAR IMPALPABLE X 10KG</v>
          </cell>
          <cell r="D583">
            <v>219615</v>
          </cell>
        </row>
        <row r="584">
          <cell r="A584"/>
          <cell r="B584"/>
          <cell r="C584" t="str">
            <v>LA CREMONA</v>
          </cell>
          <cell r="D584" t="e">
            <v>#VALUE!</v>
          </cell>
        </row>
        <row r="585">
          <cell r="A585" t="str">
            <v>20001</v>
          </cell>
          <cell r="B585" t="str">
            <v>La Cremona</v>
          </cell>
          <cell r="C585" t="str">
            <v>Factura Locatelli</v>
          </cell>
          <cell r="D585">
            <v>17732.913</v>
          </cell>
        </row>
        <row r="586">
          <cell r="A586" t="str">
            <v>20002</v>
          </cell>
          <cell r="B586" t="str">
            <v>La Cremona</v>
          </cell>
          <cell r="C586" t="str">
            <v>Factura Alemana</v>
          </cell>
          <cell r="D586">
            <v>21126.600000000002</v>
          </cell>
        </row>
        <row r="587">
          <cell r="A587" t="str">
            <v>20003</v>
          </cell>
          <cell r="B587" t="str">
            <v>La Cremona</v>
          </cell>
          <cell r="C587" t="str">
            <v>Factura Mix</v>
          </cell>
          <cell r="D587">
            <v>16598.780000000002</v>
          </cell>
        </row>
        <row r="588">
          <cell r="A588" t="str">
            <v>20004</v>
          </cell>
          <cell r="B588" t="str">
            <v>La Cremona</v>
          </cell>
          <cell r="C588" t="str">
            <v>Factura Med Multigranos</v>
          </cell>
          <cell r="D588">
            <v>41218.65</v>
          </cell>
        </row>
        <row r="589">
          <cell r="A589" t="str">
            <v>20005</v>
          </cell>
          <cell r="B589" t="str">
            <v>La Cremona</v>
          </cell>
          <cell r="C589" t="str">
            <v>Coquitos</v>
          </cell>
          <cell r="D589">
            <v>3257.2231999999999</v>
          </cell>
        </row>
        <row r="590">
          <cell r="A590" t="str">
            <v>20006</v>
          </cell>
          <cell r="B590" t="str">
            <v>La Cremona</v>
          </cell>
          <cell r="C590" t="str">
            <v>Cookies</v>
          </cell>
          <cell r="D590">
            <v>3076.2071999999998</v>
          </cell>
        </row>
        <row r="591">
          <cell r="A591" t="str">
            <v>20007</v>
          </cell>
          <cell r="B591" t="str">
            <v>La Cremona</v>
          </cell>
          <cell r="C591" t="str">
            <v>Palmeras</v>
          </cell>
          <cell r="D591">
            <v>2366.2518</v>
          </cell>
        </row>
        <row r="592">
          <cell r="A592" t="str">
            <v>20008</v>
          </cell>
          <cell r="B592" t="str">
            <v>La Cremona</v>
          </cell>
          <cell r="C592" t="str">
            <v>Pata de Oso</v>
          </cell>
          <cell r="D592">
            <v>2681.6988000000001</v>
          </cell>
        </row>
        <row r="593">
          <cell r="A593" t="str">
            <v>20009</v>
          </cell>
          <cell r="B593" t="str">
            <v>La Cremona</v>
          </cell>
          <cell r="C593" t="str">
            <v>Alfajor Maicena</v>
          </cell>
          <cell r="D593">
            <v>2689.6848</v>
          </cell>
        </row>
        <row r="594">
          <cell r="A594"/>
          <cell r="B594"/>
          <cell r="C594" t="str">
            <v>PAPELERA</v>
          </cell>
          <cell r="D594" t="e">
            <v>#VALUE!</v>
          </cell>
        </row>
        <row r="595">
          <cell r="A595" t="str">
            <v>10123</v>
          </cell>
          <cell r="B595" t="str">
            <v>COMERCIALIZACION</v>
          </cell>
          <cell r="C595" t="str">
            <v>Bolsa Kraft N5</v>
          </cell>
          <cell r="D595">
            <v>13.541327800000001</v>
          </cell>
        </row>
        <row r="596">
          <cell r="A596" t="str">
            <v>10124</v>
          </cell>
          <cell r="B596" t="str">
            <v>COMERCIALIZACION</v>
          </cell>
          <cell r="C596" t="str">
            <v>Bolsa Kraft N6</v>
          </cell>
          <cell r="D596">
            <v>16.468995400000001</v>
          </cell>
        </row>
        <row r="597">
          <cell r="A597" t="str">
            <v>10125</v>
          </cell>
          <cell r="B597" t="str">
            <v>COMERCIALIZACION</v>
          </cell>
          <cell r="C597" t="str">
            <v>Bandeja Carton N5</v>
          </cell>
          <cell r="D597">
            <v>49.127209999999998</v>
          </cell>
        </row>
        <row r="598">
          <cell r="A598" t="str">
            <v>10126</v>
          </cell>
          <cell r="B598" t="str">
            <v>COMERCIALIZACION</v>
          </cell>
          <cell r="C598" t="str">
            <v>Tira Cartulina 60 cm</v>
          </cell>
          <cell r="D598">
            <v>3169.9096</v>
          </cell>
        </row>
        <row r="599">
          <cell r="A599" t="str">
            <v>10127</v>
          </cell>
          <cell r="B599" t="str">
            <v>COMERCIALIZACION</v>
          </cell>
          <cell r="C599" t="str">
            <v>Bandeja Exp 618 20x15</v>
          </cell>
          <cell r="D599">
            <v>41.720361374999996</v>
          </cell>
        </row>
        <row r="600">
          <cell r="A600" t="str">
            <v>10128</v>
          </cell>
          <cell r="B600" t="str">
            <v>COMERCIALIZACION</v>
          </cell>
          <cell r="C600" t="str">
            <v>Bolsas PP 20X30 X 100</v>
          </cell>
          <cell r="D600">
            <v>141.026105</v>
          </cell>
        </row>
        <row r="601">
          <cell r="A601" t="str">
            <v>10129</v>
          </cell>
          <cell r="B601" t="str">
            <v>COMERCIALIZACION</v>
          </cell>
          <cell r="C601" t="str">
            <v>Ensaladera Cristal 900 cc</v>
          </cell>
          <cell r="D601">
            <v>173.61497450000002</v>
          </cell>
        </row>
        <row r="602">
          <cell r="A602" t="str">
            <v>10130</v>
          </cell>
          <cell r="B602" t="str">
            <v>COMERCIALIZACION</v>
          </cell>
          <cell r="C602" t="str">
            <v xml:space="preserve">Tapa Ensaladera </v>
          </cell>
          <cell r="D602">
            <v>100.74913992</v>
          </cell>
        </row>
        <row r="603">
          <cell r="A603" t="str">
            <v>10131</v>
          </cell>
          <cell r="B603" t="str">
            <v>COMERCIALIZACION</v>
          </cell>
          <cell r="C603" t="str">
            <v>Vaso Termico 240 CC</v>
          </cell>
          <cell r="D603">
            <v>55.672402500000004</v>
          </cell>
        </row>
        <row r="604">
          <cell r="A604" t="str">
            <v>10132</v>
          </cell>
          <cell r="B604" t="str">
            <v>COMERCIALIZACION</v>
          </cell>
          <cell r="C604" t="str">
            <v>Servilleta 18 x 18 cm</v>
          </cell>
          <cell r="D604">
            <v>14.450551975308642</v>
          </cell>
        </row>
        <row r="605">
          <cell r="A605" t="str">
            <v>10133</v>
          </cell>
          <cell r="B605" t="str">
            <v>COMERCIALIZACION</v>
          </cell>
          <cell r="C605" t="str">
            <v>Vaso Polip 12 OZ 30 uni tubo</v>
          </cell>
          <cell r="D605">
            <v>147.16463263333333</v>
          </cell>
        </row>
        <row r="606">
          <cell r="A606" t="str">
            <v>10134</v>
          </cell>
          <cell r="B606" t="str">
            <v>COMERCIALIZACION</v>
          </cell>
          <cell r="C606" t="str">
            <v>Tapa Vaso Poli 12 OZ</v>
          </cell>
          <cell r="D606">
            <v>37.486428191666676</v>
          </cell>
        </row>
        <row r="607">
          <cell r="A607" t="str">
            <v>10135</v>
          </cell>
          <cell r="B607" t="str">
            <v>COMERCIALIZACION</v>
          </cell>
          <cell r="C607" t="str">
            <v>Repuesto Film 300 Mts Eco 9</v>
          </cell>
          <cell r="D607">
            <v>7324.3598999999995</v>
          </cell>
        </row>
        <row r="608">
          <cell r="A608" t="str">
            <v>10136</v>
          </cell>
          <cell r="B608" t="str">
            <v>COMERCIALIZACION</v>
          </cell>
          <cell r="C608" t="str">
            <v>Rollo Maquina Termica 57x 20</v>
          </cell>
          <cell r="D608">
            <v>335.75672900000001</v>
          </cell>
        </row>
        <row r="609">
          <cell r="A609" t="str">
            <v>10137</v>
          </cell>
          <cell r="B609" t="str">
            <v>COMERCIALIZACION</v>
          </cell>
          <cell r="C609" t="str">
            <v>Vaso 500 cc Nat x 1440 Bella Cup</v>
          </cell>
          <cell r="D609">
            <v>52.233856430555555</v>
          </cell>
        </row>
        <row r="610">
          <cell r="A610" t="str">
            <v>10138</v>
          </cell>
          <cell r="B610" t="str">
            <v>COMERCIALIZACION</v>
          </cell>
          <cell r="C610" t="str">
            <v>Vaso 180 cc Blanco Bella Cup</v>
          </cell>
          <cell r="D610">
            <v>6.4157793700000001</v>
          </cell>
        </row>
        <row r="611">
          <cell r="A611" t="str">
            <v>10139</v>
          </cell>
          <cell r="B611" t="str">
            <v>COMERCIALIZACION</v>
          </cell>
          <cell r="C611" t="str">
            <v>Rollo Papel Facturas "Rocha Almacen"</v>
          </cell>
          <cell r="D611">
            <v>39930</v>
          </cell>
        </row>
        <row r="612">
          <cell r="A612" t="str">
            <v>10140</v>
          </cell>
          <cell r="B612" t="str">
            <v>COMERCIALIZACION</v>
          </cell>
          <cell r="C612" t="str">
            <v>Camiseta 40 x 50 Nar</v>
          </cell>
          <cell r="D612">
            <v>26.745263397959182</v>
          </cell>
        </row>
        <row r="613">
          <cell r="A613" t="str">
            <v>10141</v>
          </cell>
          <cell r="B613" t="str">
            <v>COMERCIALIZACION</v>
          </cell>
          <cell r="C613" t="str">
            <v>Camiseta 45 x 60 Nar</v>
          </cell>
          <cell r="D613">
            <v>40.117901887755103</v>
          </cell>
        </row>
        <row r="614">
          <cell r="A614" t="str">
            <v>10142</v>
          </cell>
          <cell r="B614" t="str">
            <v>COMERCIALIZACION</v>
          </cell>
          <cell r="C614" t="str">
            <v>Rollo 60x90 x 6 Rolan</v>
          </cell>
          <cell r="D614">
            <v>1433.1581320833334</v>
          </cell>
        </row>
        <row r="615">
          <cell r="A615" t="str">
            <v>10143</v>
          </cell>
          <cell r="B615" t="str">
            <v>COMERCIALIZACION</v>
          </cell>
          <cell r="C615" t="str">
            <v>Band Exp 618 20x15 cm x 400 uni</v>
          </cell>
          <cell r="D615">
            <v>50.155823437499997</v>
          </cell>
        </row>
        <row r="616">
          <cell r="A616" t="str">
            <v>10144</v>
          </cell>
          <cell r="B616" t="str">
            <v>COMERCIALIZACION</v>
          </cell>
          <cell r="C616" t="str">
            <v>Plato Dipo 24x50</v>
          </cell>
          <cell r="D616">
            <v>319.60371299999997</v>
          </cell>
        </row>
        <row r="617">
          <cell r="A617" t="str">
            <v>10145</v>
          </cell>
          <cell r="B617" t="str">
            <v>COMERCIALIZACION</v>
          </cell>
          <cell r="C617" t="str">
            <v>Tapa 88 p/potes work x 50 x 1000</v>
          </cell>
          <cell r="D617">
            <v>22.117120519999997</v>
          </cell>
        </row>
        <row r="618">
          <cell r="A618" t="str">
            <v>10146</v>
          </cell>
          <cell r="B618" t="str">
            <v>COMERCIALIZACION</v>
          </cell>
          <cell r="C618" t="str">
            <v>Blonda Calada 25/26 cm x 100</v>
          </cell>
          <cell r="D618">
            <v>31.623894499999999</v>
          </cell>
        </row>
        <row r="619">
          <cell r="A619" t="str">
            <v>10147</v>
          </cell>
          <cell r="B619" t="str">
            <v>COMERCIALIZACION</v>
          </cell>
          <cell r="C619" t="str">
            <v>Blonda Calada 28 cm x 100</v>
          </cell>
          <cell r="D619">
            <v>33.026901600000002</v>
          </cell>
        </row>
        <row r="620">
          <cell r="A620" t="str">
            <v>10148</v>
          </cell>
          <cell r="B620" t="str">
            <v>COMERCIALIZACION</v>
          </cell>
          <cell r="C620" t="str">
            <v>Pap Hig s/h aloe x 30 mts x 24</v>
          </cell>
          <cell r="D620">
            <v>334.27011291666668</v>
          </cell>
        </row>
        <row r="621">
          <cell r="A621" t="str">
            <v>10149</v>
          </cell>
          <cell r="B621" t="str">
            <v>COMERCIALIZACION</v>
          </cell>
          <cell r="C621" t="str">
            <v>Plato Alum ( provo ) x 1000</v>
          </cell>
          <cell r="D621">
            <v>10.78854029</v>
          </cell>
        </row>
        <row r="622">
          <cell r="A622" t="str">
            <v>10150</v>
          </cell>
          <cell r="B622" t="str">
            <v>COMERCIALIZACION</v>
          </cell>
          <cell r="C622" t="str">
            <v>Bud Papel 185x50x50x100</v>
          </cell>
          <cell r="D622">
            <v>116.39658888000002</v>
          </cell>
        </row>
        <row r="623">
          <cell r="A623" t="str">
            <v>10151</v>
          </cell>
          <cell r="B623" t="str">
            <v>COMERCIALIZACION</v>
          </cell>
          <cell r="C623" t="str">
            <v>Lamina 20x25x10 Rolan</v>
          </cell>
          <cell r="D623">
            <v>4125.7050923000006</v>
          </cell>
        </row>
        <row r="624">
          <cell r="A624" t="str">
            <v>10152</v>
          </cell>
          <cell r="B624" t="str">
            <v>COMERCIALIZACION</v>
          </cell>
          <cell r="C624" t="str">
            <v>Bandeja Exp 621 19 x 14 x 600 uni</v>
          </cell>
          <cell r="D624">
            <v>59.918558699999998</v>
          </cell>
        </row>
        <row r="625">
          <cell r="A625" t="str">
            <v>10153</v>
          </cell>
          <cell r="B625" t="str">
            <v>COMERCIALIZACION</v>
          </cell>
          <cell r="C625" t="str">
            <v>Camiseta 30x40 azul</v>
          </cell>
          <cell r="D625">
            <v>14.236424893877549</v>
          </cell>
        </row>
        <row r="626">
          <cell r="A626" t="str">
            <v>10154</v>
          </cell>
          <cell r="B626" t="str">
            <v>COMERCIALIZACION</v>
          </cell>
          <cell r="C626" t="str">
            <v>ROLLO PAP MANTECA X50</v>
          </cell>
          <cell r="D626">
            <v>187.91058000000001</v>
          </cell>
        </row>
        <row r="627">
          <cell r="A627" t="str">
            <v>10155</v>
          </cell>
          <cell r="B627" t="str">
            <v>COMERCIALIZACION</v>
          </cell>
          <cell r="C627" t="str">
            <v>FILM 38CM X9</v>
          </cell>
          <cell r="D627">
            <v>479.16</v>
          </cell>
        </row>
        <row r="628">
          <cell r="A628" t="str">
            <v>10156</v>
          </cell>
          <cell r="B628" t="str">
            <v>COMERCIALIZACION</v>
          </cell>
          <cell r="C628" t="str">
            <v>CINTA EMBALAR 48MM</v>
          </cell>
          <cell r="D628">
            <v>1238.17606</v>
          </cell>
        </row>
        <row r="629">
          <cell r="A629" t="str">
            <v>10157</v>
          </cell>
          <cell r="B629" t="str">
            <v>COMERCIALIZACION</v>
          </cell>
          <cell r="C629" t="str">
            <v>CONSORCIO 80X100  X50</v>
          </cell>
          <cell r="D629">
            <v>308.65091400000006</v>
          </cell>
        </row>
        <row r="630">
          <cell r="A630" t="str">
            <v>10158</v>
          </cell>
          <cell r="B630" t="str">
            <v>COMERCIALIZACION</v>
          </cell>
          <cell r="C630" t="str">
            <v>CAJA CARTON 30X20X20</v>
          </cell>
          <cell r="D630">
            <v>322.67433000000005</v>
          </cell>
        </row>
        <row r="631">
          <cell r="A631" t="str">
            <v>10159</v>
          </cell>
          <cell r="B631" t="str">
            <v>COMERCIALIZACION</v>
          </cell>
          <cell r="C631" t="str">
            <v>CUCHARA SUNDAE X1000</v>
          </cell>
          <cell r="D631">
            <v>8.4784700000000015</v>
          </cell>
        </row>
        <row r="632">
          <cell r="A632" t="str">
            <v>10160</v>
          </cell>
          <cell r="B632" t="str">
            <v>COMERCIALIZACION</v>
          </cell>
          <cell r="C632" t="str">
            <v>Collarin 12oz x25 u x40</v>
          </cell>
          <cell r="D632">
            <v>15.262244250000002</v>
          </cell>
        </row>
        <row r="633">
          <cell r="A633" t="str">
            <v>10161</v>
          </cell>
          <cell r="B633" t="str">
            <v>COMERCIALIZACION</v>
          </cell>
          <cell r="C633" t="str">
            <v>Cinta transparente 24mmx40mts  x72</v>
          </cell>
          <cell r="D633">
            <v>304.01371000000006</v>
          </cell>
        </row>
        <row r="634">
          <cell r="A634" t="str">
            <v>10162</v>
          </cell>
          <cell r="B634" t="str">
            <v>COMERCIALIZACION</v>
          </cell>
          <cell r="C634" t="str">
            <v>Bobina doble hoja</v>
          </cell>
          <cell r="D634">
            <v>10814.375</v>
          </cell>
        </row>
        <row r="635">
          <cell r="A635" t="str">
            <v>10163</v>
          </cell>
          <cell r="B635" t="str">
            <v>COMERCIALIZACION</v>
          </cell>
          <cell r="C635" t="str">
            <v>res.alambre corte 40x3</v>
          </cell>
          <cell r="D635">
            <v>15462.253620000001</v>
          </cell>
        </row>
        <row r="636">
          <cell r="A636" t="str">
            <v>10164</v>
          </cell>
          <cell r="B636" t="str">
            <v>COMERCIALIZACION</v>
          </cell>
          <cell r="C636" t="str">
            <v>Tela Teflon sell</v>
          </cell>
          <cell r="D636">
            <v>10869.505020000001</v>
          </cell>
        </row>
        <row r="637">
          <cell r="A637" t="str">
            <v>10165</v>
          </cell>
          <cell r="B637" t="str">
            <v>COMERCIALIZACION</v>
          </cell>
          <cell r="C637" t="str">
            <v>Disco de Carton 18cm</v>
          </cell>
          <cell r="D637">
            <v>4195.9775000000009</v>
          </cell>
        </row>
        <row r="638">
          <cell r="A638" t="str">
            <v>10166</v>
          </cell>
          <cell r="B638" t="str">
            <v>COMERCIALIZACION</v>
          </cell>
          <cell r="C638" t="str">
            <v>Bolsas PP 35x45cm</v>
          </cell>
          <cell r="D638">
            <v>11.141747760000001</v>
          </cell>
        </row>
        <row r="639">
          <cell r="A639" t="str">
            <v>10167</v>
          </cell>
          <cell r="B639" t="str">
            <v>COMERCIALIZACION</v>
          </cell>
          <cell r="C639" t="str">
            <v>Plato Dor x50</v>
          </cell>
          <cell r="D639">
            <v>30601.686500000003</v>
          </cell>
        </row>
        <row r="640">
          <cell r="A640" t="str">
            <v>10168</v>
          </cell>
          <cell r="B640" t="str">
            <v>COMERCIALIZACION</v>
          </cell>
          <cell r="C640" t="str">
            <v>PVC Resifilm 18 x 1000mts</v>
          </cell>
          <cell r="D640">
            <v>32100.525600000001</v>
          </cell>
        </row>
        <row r="641">
          <cell r="A641" t="str">
            <v>10169</v>
          </cell>
          <cell r="B641" t="str">
            <v>COMERCIALIZACION</v>
          </cell>
          <cell r="C641" t="str">
            <v>Pore 380CC PP Work</v>
          </cell>
          <cell r="D641">
            <v>60.733530000000002</v>
          </cell>
        </row>
        <row r="642">
          <cell r="A642" t="str">
            <v>10170</v>
          </cell>
          <cell r="B642" t="str">
            <v>COMERCIALIZACION</v>
          </cell>
          <cell r="C642" t="str">
            <v>Tenedor Blanco x 1000</v>
          </cell>
          <cell r="D642">
            <v>12.458160000000001</v>
          </cell>
        </row>
        <row r="643">
          <cell r="A643" t="str">
            <v>10171</v>
          </cell>
          <cell r="B643" t="str">
            <v>COMERCIALIZACION</v>
          </cell>
          <cell r="C643" t="str">
            <v>Tira Cartulina 50 cm</v>
          </cell>
          <cell r="D643">
            <v>2707.6532999999999</v>
          </cell>
        </row>
        <row r="644">
          <cell r="A644" t="str">
            <v>10172</v>
          </cell>
          <cell r="B644" t="str">
            <v>COMERCIALIZACION</v>
          </cell>
          <cell r="C644" t="str">
            <v>Bolsas pp 50 x 60</v>
          </cell>
          <cell r="D644">
            <v>69.082813139999999</v>
          </cell>
        </row>
        <row r="645">
          <cell r="A645" t="str">
            <v>10173</v>
          </cell>
          <cell r="B645" t="str">
            <v>COMERCIALIZACION</v>
          </cell>
          <cell r="C645" t="str">
            <v>Blonda Calada 20 cm</v>
          </cell>
          <cell r="D645">
            <v>22.119755900000001</v>
          </cell>
        </row>
        <row r="646">
          <cell r="A646" t="str">
            <v>10174</v>
          </cell>
          <cell r="B646" t="str">
            <v>COMERCIALIZACION</v>
          </cell>
          <cell r="C646" t="str">
            <v>Rendidor</v>
          </cell>
          <cell r="D646">
            <v>4368.3930216666668</v>
          </cell>
        </row>
        <row r="647">
          <cell r="A647" t="str">
            <v>10196</v>
          </cell>
          <cell r="B647" t="str">
            <v>COMERCIALIZACION</v>
          </cell>
          <cell r="C647" t="str">
            <v>Bobina impesa almacen</v>
          </cell>
          <cell r="D647">
            <v>4309.7780000000002</v>
          </cell>
        </row>
        <row r="648">
          <cell r="A648" t="str">
            <v>10197</v>
          </cell>
          <cell r="B648" t="str">
            <v>COMERCIALIZACION</v>
          </cell>
          <cell r="C648" t="str">
            <v>Bolsas de papel impresas almacen</v>
          </cell>
          <cell r="D648">
            <v>43.896379999999994</v>
          </cell>
        </row>
        <row r="649">
          <cell r="A649"/>
          <cell r="B649"/>
          <cell r="C649"/>
          <cell r="D649" t="e">
            <v>#VALUE!</v>
          </cell>
        </row>
        <row r="650">
          <cell r="A650"/>
          <cell r="B650"/>
          <cell r="C650"/>
          <cell r="D650" t="e">
            <v>#VALUE!</v>
          </cell>
        </row>
        <row r="651">
          <cell r="A651"/>
          <cell r="B651"/>
          <cell r="C651"/>
          <cell r="D651"/>
        </row>
        <row r="652">
          <cell r="A652"/>
          <cell r="B652"/>
          <cell r="C652"/>
          <cell r="D652"/>
        </row>
        <row r="653">
          <cell r="A653"/>
          <cell r="B653"/>
          <cell r="C653"/>
          <cell r="D653"/>
        </row>
        <row r="654">
          <cell r="A654"/>
          <cell r="B654"/>
          <cell r="C654"/>
          <cell r="D654"/>
        </row>
        <row r="655">
          <cell r="A655"/>
          <cell r="B655"/>
          <cell r="C655"/>
          <cell r="D655"/>
        </row>
        <row r="656">
          <cell r="A656"/>
          <cell r="B656"/>
          <cell r="C656"/>
          <cell r="D656"/>
        </row>
        <row r="657">
          <cell r="A657"/>
          <cell r="B657"/>
          <cell r="C657"/>
          <cell r="D657"/>
        </row>
        <row r="658">
          <cell r="A658"/>
          <cell r="B658"/>
          <cell r="C658"/>
          <cell r="D658"/>
        </row>
        <row r="659">
          <cell r="A659"/>
          <cell r="B659"/>
          <cell r="C659"/>
          <cell r="D659"/>
        </row>
        <row r="660">
          <cell r="A660"/>
          <cell r="B660"/>
          <cell r="C660"/>
          <cell r="D660"/>
        </row>
        <row r="661">
          <cell r="A661"/>
          <cell r="B661"/>
          <cell r="C661"/>
          <cell r="D661"/>
        </row>
        <row r="662">
          <cell r="A662"/>
          <cell r="B662"/>
          <cell r="C662"/>
          <cell r="D662"/>
        </row>
        <row r="663">
          <cell r="A663"/>
          <cell r="B663"/>
          <cell r="C663"/>
          <cell r="D663"/>
        </row>
        <row r="664">
          <cell r="A664"/>
          <cell r="B664"/>
          <cell r="C664"/>
          <cell r="D664"/>
        </row>
        <row r="665">
          <cell r="A665"/>
          <cell r="B665"/>
          <cell r="C665"/>
          <cell r="D665"/>
        </row>
        <row r="666">
          <cell r="A666"/>
          <cell r="B666"/>
          <cell r="C666"/>
          <cell r="D666"/>
        </row>
        <row r="667">
          <cell r="A667"/>
          <cell r="B667"/>
          <cell r="C667"/>
          <cell r="D667"/>
        </row>
        <row r="668">
          <cell r="A668"/>
          <cell r="B668"/>
          <cell r="C668"/>
          <cell r="D668"/>
        </row>
        <row r="669">
          <cell r="A669"/>
          <cell r="B669"/>
          <cell r="C669"/>
          <cell r="D669"/>
        </row>
        <row r="670">
          <cell r="A670"/>
          <cell r="B670"/>
          <cell r="C670"/>
          <cell r="D670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267F-72F3-48F4-B105-9DC398DED4EE}">
  <dimension ref="B1:L55"/>
  <sheetViews>
    <sheetView workbookViewId="0">
      <selection sqref="A1:XFD1048576"/>
    </sheetView>
  </sheetViews>
  <sheetFormatPr baseColWidth="10" defaultColWidth="11.42578125" defaultRowHeight="12.75" x14ac:dyDescent="0.25"/>
  <cols>
    <col min="1" max="1" width="2.28515625" style="7" customWidth="1"/>
    <col min="2" max="2" width="4.5703125" style="7" customWidth="1"/>
    <col min="3" max="3" width="4" style="7" customWidth="1"/>
    <col min="4" max="4" width="8.28515625" style="7" customWidth="1"/>
    <col min="5" max="5" width="18" style="7" customWidth="1"/>
    <col min="6" max="6" width="11" style="7" customWidth="1"/>
    <col min="7" max="7" width="6.42578125" style="7" customWidth="1"/>
    <col min="8" max="8" width="14.28515625" style="7" customWidth="1"/>
    <col min="9" max="9" width="11.42578125" style="7"/>
    <col min="10" max="11" width="6.7109375" style="7" customWidth="1"/>
    <col min="12" max="16384" width="11.42578125" style="7"/>
  </cols>
  <sheetData>
    <row r="1" spans="2:12" ht="19.5" customHeight="1" thickBot="1" x14ac:dyDescent="0.3">
      <c r="B1" s="1" t="s">
        <v>0</v>
      </c>
      <c r="C1" s="2"/>
      <c r="D1" s="2"/>
      <c r="E1" s="2"/>
      <c r="F1" s="2"/>
      <c r="G1" s="3"/>
      <c r="H1" s="4">
        <f ca="1">NOW()+1</f>
        <v>46222.397979629626</v>
      </c>
      <c r="I1" s="5"/>
      <c r="J1" s="5"/>
      <c r="K1" s="5"/>
      <c r="L1" s="6"/>
    </row>
    <row r="2" spans="2:12" ht="19.5" customHeight="1" thickBot="1" x14ac:dyDescent="0.3">
      <c r="B2" s="8"/>
      <c r="C2" s="9" t="s">
        <v>1</v>
      </c>
      <c r="D2" s="9"/>
      <c r="E2" s="10" t="s">
        <v>2</v>
      </c>
      <c r="F2" s="11" t="str">
        <f>VLOOKUP(E2,[1]Clientes!A3:C199,2)</f>
        <v>LINIERS</v>
      </c>
      <c r="G2" s="11"/>
      <c r="H2" s="11"/>
      <c r="I2" s="12" t="s">
        <v>3</v>
      </c>
      <c r="J2" s="13" t="str">
        <f>VLOOKUP(E2,[1]Clientes!$A$3:$M$199,13)</f>
        <v>6:30hs</v>
      </c>
      <c r="K2" s="14"/>
      <c r="L2" s="15"/>
    </row>
    <row r="3" spans="2:12" ht="19.5" customHeight="1" thickBot="1" x14ac:dyDescent="0.3">
      <c r="B3" s="16"/>
      <c r="C3" s="17" t="s">
        <v>4</v>
      </c>
      <c r="D3" s="18"/>
      <c r="E3" s="17">
        <f>VLOOKUP(E2,[1]Clientes!A3:C198,3)</f>
        <v>6</v>
      </c>
      <c r="F3" s="17"/>
      <c r="G3" s="19"/>
      <c r="H3" s="20"/>
      <c r="I3" s="19"/>
      <c r="J3" s="19"/>
      <c r="K3" s="19"/>
      <c r="L3" s="21"/>
    </row>
    <row r="4" spans="2:12" ht="19.5" customHeight="1" thickBot="1" x14ac:dyDescent="0.3">
      <c r="B4" s="16"/>
      <c r="C4" s="17" t="s">
        <v>5</v>
      </c>
      <c r="D4" s="17"/>
      <c r="E4" s="17"/>
      <c r="F4" s="19"/>
      <c r="G4" s="19"/>
      <c r="H4" s="19" t="str">
        <f>VLOOKUP(E2,[2]Clientes!A3:L117,4)</f>
        <v>Av Liniers 1699; Tigre</v>
      </c>
      <c r="I4" s="19"/>
      <c r="J4" s="19"/>
      <c r="K4" s="19"/>
      <c r="L4" s="21"/>
    </row>
    <row r="5" spans="2:12" ht="19.5" customHeight="1" thickBot="1" x14ac:dyDescent="0.3">
      <c r="B5" s="16"/>
      <c r="C5" s="17" t="s">
        <v>6</v>
      </c>
      <c r="D5" s="17"/>
      <c r="E5" s="17"/>
      <c r="F5" s="19" t="str">
        <f>VLOOKUP(E2,[2]Clientes!A3:L117,7)</f>
        <v>Celu Pana</v>
      </c>
      <c r="G5" s="19"/>
      <c r="H5" s="19"/>
      <c r="I5" s="19"/>
      <c r="J5" s="19"/>
      <c r="K5" s="19"/>
      <c r="L5" s="21"/>
    </row>
    <row r="6" spans="2:12" ht="15" customHeight="1" thickBot="1" x14ac:dyDescent="0.3">
      <c r="B6" s="22" t="s">
        <v>1</v>
      </c>
      <c r="C6" s="23"/>
      <c r="D6" s="24" t="s">
        <v>7</v>
      </c>
      <c r="E6" s="25" t="s">
        <v>8</v>
      </c>
      <c r="F6" s="26"/>
      <c r="G6" s="26"/>
      <c r="H6" s="27"/>
      <c r="I6" s="24" t="s">
        <v>9</v>
      </c>
      <c r="J6" s="28" t="s">
        <v>10</v>
      </c>
      <c r="K6" s="28"/>
      <c r="L6" s="29" t="s">
        <v>11</v>
      </c>
    </row>
    <row r="7" spans="2:12" ht="15" customHeight="1" x14ac:dyDescent="0.25">
      <c r="B7" s="30" t="s">
        <v>12</v>
      </c>
      <c r="C7" s="31"/>
      <c r="D7" s="32">
        <v>30</v>
      </c>
      <c r="E7" s="33" t="str">
        <f>IFERROR(VLOOKUP(B7,[1]LPM!$A$2:$N$1145,3,0),"")</f>
        <v>PAN COMUN MIGÑON</v>
      </c>
      <c r="F7" s="34"/>
      <c r="G7" s="34"/>
      <c r="H7" s="35"/>
      <c r="I7" s="36">
        <f>IFERROR(VLOOKUP(B7,[1]LPM!$A$2:$N$1145,$E$3,0),"")</f>
        <v>2300</v>
      </c>
      <c r="J7" s="37" t="s">
        <v>13</v>
      </c>
      <c r="K7" s="37" t="s">
        <v>14</v>
      </c>
      <c r="L7" s="38">
        <f>IFERROR(I7*D7,"")</f>
        <v>69000</v>
      </c>
    </row>
    <row r="8" spans="2:12" ht="15" customHeight="1" x14ac:dyDescent="0.25">
      <c r="B8" s="39"/>
      <c r="C8" s="40"/>
      <c r="D8" s="41"/>
      <c r="E8" s="42" t="str">
        <f>IFERROR(VLOOKUP(B8,[1]LPM!$A$2:$N$1145,3,0),"")</f>
        <v/>
      </c>
      <c r="F8" s="43"/>
      <c r="G8" s="43"/>
      <c r="H8" s="44"/>
      <c r="I8" s="45" t="str">
        <f>IFERROR(VLOOKUP(B8,[1]LPM!$A$2:$N$1145,$E$3,0),"")</f>
        <v/>
      </c>
      <c r="J8" s="46"/>
      <c r="K8" s="46"/>
      <c r="L8" s="47" t="str">
        <f t="shared" ref="L8:L48" si="0">IFERROR(I8*D8,"")</f>
        <v/>
      </c>
    </row>
    <row r="9" spans="2:12" ht="15" customHeight="1" x14ac:dyDescent="0.25">
      <c r="B9" s="39" t="s">
        <v>15</v>
      </c>
      <c r="C9" s="40"/>
      <c r="D9" s="41">
        <v>1</v>
      </c>
      <c r="E9" s="42" t="str">
        <f>IFERROR(VLOOKUP(B9,[1]LPM!$A$2:$N$1145,3,0),"")</f>
        <v xml:space="preserve">LATA NEGRITO   </v>
      </c>
      <c r="F9" s="43"/>
      <c r="G9" s="43"/>
      <c r="H9" s="44"/>
      <c r="I9" s="45">
        <f>IFERROR(VLOOKUP(B9,[1]LPM!$A$2:$N$1145,$E$3,0),"")</f>
        <v>9920</v>
      </c>
      <c r="J9" s="48" t="s">
        <v>13</v>
      </c>
      <c r="K9" s="48" t="s">
        <v>14</v>
      </c>
      <c r="L9" s="47">
        <f t="shared" si="0"/>
        <v>9920</v>
      </c>
    </row>
    <row r="10" spans="2:12" ht="15" customHeight="1" x14ac:dyDescent="0.25">
      <c r="B10" s="39" t="s">
        <v>16</v>
      </c>
      <c r="C10" s="40"/>
      <c r="D10" s="41">
        <v>2</v>
      </c>
      <c r="E10" s="42" t="str">
        <f>IFERROR(VLOOKUP(B10,[1]LPM!$A$2:$N$1145,3,0),"")</f>
        <v>LATA FIGASA</v>
      </c>
      <c r="F10" s="43"/>
      <c r="G10" s="43"/>
      <c r="H10" s="44"/>
      <c r="I10" s="45">
        <f>IFERROR(VLOOKUP(B10,[1]LPM!$A$2:$N$1145,$E$3,0),"")</f>
        <v>10820</v>
      </c>
      <c r="J10" s="46" t="s">
        <v>13</v>
      </c>
      <c r="K10" s="46" t="s">
        <v>14</v>
      </c>
      <c r="L10" s="47">
        <f t="shared" si="0"/>
        <v>21640</v>
      </c>
    </row>
    <row r="11" spans="2:12" ht="15" customHeight="1" x14ac:dyDescent="0.25">
      <c r="B11" s="39"/>
      <c r="C11" s="40"/>
      <c r="D11" s="41"/>
      <c r="E11" s="42" t="str">
        <f>IFERROR(VLOOKUP(B11,[1]LPM!$A$2:$N$1145,3,0),"")</f>
        <v/>
      </c>
      <c r="F11" s="43"/>
      <c r="G11" s="43"/>
      <c r="H11" s="44"/>
      <c r="I11" s="45" t="str">
        <f>IFERROR(VLOOKUP(B11,[1]LPM!$A$2:$N$1145,$E$3,0),"")</f>
        <v/>
      </c>
      <c r="J11" s="48"/>
      <c r="K11" s="48"/>
      <c r="L11" s="47" t="str">
        <f t="shared" si="0"/>
        <v/>
      </c>
    </row>
    <row r="12" spans="2:12" ht="15" customHeight="1" x14ac:dyDescent="0.25">
      <c r="B12" s="39" t="s">
        <v>17</v>
      </c>
      <c r="C12" s="40"/>
      <c r="D12" s="41">
        <v>2</v>
      </c>
      <c r="E12" s="42" t="str">
        <f>IFERROR(VLOOKUP(B12,[1]LPM!$A$2:$N$1145,3,0),"")</f>
        <v>LATA GALLETA</v>
      </c>
      <c r="F12" s="43"/>
      <c r="G12" s="43"/>
      <c r="H12" s="44"/>
      <c r="I12" s="45">
        <f>IFERROR(VLOOKUP(B12,[1]LPM!$A$2:$N$1145,$E$3,0),"")</f>
        <v>9350</v>
      </c>
      <c r="J12" s="46" t="s">
        <v>13</v>
      </c>
      <c r="K12" s="46" t="s">
        <v>14</v>
      </c>
      <c r="L12" s="47">
        <f t="shared" si="0"/>
        <v>18700</v>
      </c>
    </row>
    <row r="13" spans="2:12" ht="15" customHeight="1" x14ac:dyDescent="0.25">
      <c r="B13" s="39" t="s">
        <v>18</v>
      </c>
      <c r="C13" s="40"/>
      <c r="D13" s="41">
        <v>15</v>
      </c>
      <c r="E13" s="42" t="str">
        <f>IFERROR(VLOOKUP(B13,[1]LPM!$A$2:$N$1145,3,0),"")</f>
        <v>CREMONA CHICA X UNIDAD</v>
      </c>
      <c r="F13" s="43"/>
      <c r="G13" s="43"/>
      <c r="H13" s="44"/>
      <c r="I13" s="45">
        <f>IFERROR(VLOOKUP(B13,[1]LPM!$A$2:$N$1145,$E$3,0),"")</f>
        <v>330</v>
      </c>
      <c r="J13" s="48" t="s">
        <v>13</v>
      </c>
      <c r="K13" s="48" t="s">
        <v>14</v>
      </c>
      <c r="L13" s="47">
        <f t="shared" si="0"/>
        <v>4950</v>
      </c>
    </row>
    <row r="14" spans="2:12" ht="15" customHeight="1" x14ac:dyDescent="0.25">
      <c r="B14" s="39" t="s">
        <v>19</v>
      </c>
      <c r="C14" s="40"/>
      <c r="D14" s="41">
        <v>3</v>
      </c>
      <c r="E14" s="42" t="str">
        <f>IFERROR(VLOOKUP(B14,[1]LPM!$A$2:$N$1145,3,0),"")</f>
        <v>CREMONA SOLA</v>
      </c>
      <c r="F14" s="43"/>
      <c r="G14" s="43"/>
      <c r="H14" s="44"/>
      <c r="I14" s="45">
        <f>IFERROR(VLOOKUP(B14,[1]LPM!$A$2:$N$1145,$E$3,0),"")</f>
        <v>1970</v>
      </c>
      <c r="J14" s="46" t="s">
        <v>13</v>
      </c>
      <c r="K14" s="46" t="s">
        <v>14</v>
      </c>
      <c r="L14" s="47">
        <f t="shared" si="0"/>
        <v>5910</v>
      </c>
    </row>
    <row r="15" spans="2:12" ht="15" customHeight="1" x14ac:dyDescent="0.25">
      <c r="B15" s="39" t="s">
        <v>20</v>
      </c>
      <c r="C15" s="40"/>
      <c r="D15" s="41">
        <v>3</v>
      </c>
      <c r="E15" s="42" t="str">
        <f>IFERROR(VLOOKUP(B15,[1]LPM!$A$2:$N$1145,3,0),"")</f>
        <v>CREMONA DULCE</v>
      </c>
      <c r="F15" s="43"/>
      <c r="G15" s="43"/>
      <c r="H15" s="44"/>
      <c r="I15" s="45">
        <f>IFERROR(VLOOKUP(B15,[1]LPM!$A$2:$N$1145,$E$3,0),"")</f>
        <v>1970</v>
      </c>
      <c r="J15" s="48" t="s">
        <v>13</v>
      </c>
      <c r="K15" s="48" t="s">
        <v>14</v>
      </c>
      <c r="L15" s="47">
        <f t="shared" si="0"/>
        <v>5910</v>
      </c>
    </row>
    <row r="16" spans="2:12" ht="15" customHeight="1" x14ac:dyDescent="0.25">
      <c r="B16" s="39" t="s">
        <v>21</v>
      </c>
      <c r="C16" s="40"/>
      <c r="D16" s="41">
        <v>3</v>
      </c>
      <c r="E16" s="42" t="str">
        <f>IFERROR(VLOOKUP(B16,[1]LPM!$A$2:$N$1145,3,0),"")</f>
        <v>CREMONA CHICHA</v>
      </c>
      <c r="F16" s="43"/>
      <c r="G16" s="43"/>
      <c r="H16" s="44"/>
      <c r="I16" s="45">
        <f>IFERROR(VLOOKUP(B16,[1]LPM!$A$2:$N$1145,$E$3,0),"")</f>
        <v>1970</v>
      </c>
      <c r="J16" s="46" t="s">
        <v>13</v>
      </c>
      <c r="K16" s="46" t="s">
        <v>14</v>
      </c>
      <c r="L16" s="47">
        <f t="shared" si="0"/>
        <v>5910</v>
      </c>
    </row>
    <row r="17" spans="2:12" ht="15" customHeight="1" x14ac:dyDescent="0.25">
      <c r="B17" s="39" t="s">
        <v>22</v>
      </c>
      <c r="C17" s="40"/>
      <c r="D17" s="41">
        <v>3</v>
      </c>
      <c r="E17" s="42" t="str">
        <f>IFERROR(VLOOKUP(B17,[1]LPM!$A$2:$N$1145,3,0),"")</f>
        <v>CREMONA DE JAMON Y QUESO</v>
      </c>
      <c r="F17" s="43"/>
      <c r="G17" s="43"/>
      <c r="H17" s="44"/>
      <c r="I17" s="45">
        <f>IFERROR(VLOOKUP(B17,[1]LPM!$A$2:$N$1145,$E$3,0),"")</f>
        <v>3280</v>
      </c>
      <c r="J17" s="48" t="s">
        <v>13</v>
      </c>
      <c r="K17" s="48" t="s">
        <v>14</v>
      </c>
      <c r="L17" s="47">
        <f t="shared" si="0"/>
        <v>9840</v>
      </c>
    </row>
    <row r="18" spans="2:12" ht="15" customHeight="1" x14ac:dyDescent="0.25">
      <c r="B18" s="39" t="s">
        <v>23</v>
      </c>
      <c r="C18" s="40"/>
      <c r="D18" s="41">
        <v>1</v>
      </c>
      <c r="E18" s="42" t="str">
        <f>IFERROR(VLOOKUP(B18,[1]LPM!$A$2:$N$1145,3,0),"")</f>
        <v>LATA DE GALLETA DE CHICHA</v>
      </c>
      <c r="F18" s="43"/>
      <c r="G18" s="43"/>
      <c r="H18" s="44"/>
      <c r="I18" s="45">
        <f>IFERROR(VLOOKUP(B18,[1]LPM!$A$2:$N$1145,$E$3,0),"")</f>
        <v>10410</v>
      </c>
      <c r="J18" s="46" t="s">
        <v>13</v>
      </c>
      <c r="K18" s="46" t="s">
        <v>14</v>
      </c>
      <c r="L18" s="47">
        <f t="shared" si="0"/>
        <v>10410</v>
      </c>
    </row>
    <row r="19" spans="2:12" x14ac:dyDescent="0.25">
      <c r="B19" s="39" t="s">
        <v>24</v>
      </c>
      <c r="C19" s="40"/>
      <c r="D19" s="41">
        <v>1</v>
      </c>
      <c r="E19" s="42" t="str">
        <f>IFERROR(VLOOKUP(B19,[1]LPM!$A$2:$N$1145,3,0),"")</f>
        <v>LATA GALLETA DE QUESO</v>
      </c>
      <c r="F19" s="43"/>
      <c r="G19" s="43"/>
      <c r="H19" s="44"/>
      <c r="I19" s="45">
        <f>IFERROR(VLOOKUP(B19,[1]LPM!$A$2:$N$1145,$E$3,0),"")</f>
        <v>11810</v>
      </c>
      <c r="J19" s="46" t="s">
        <v>13</v>
      </c>
      <c r="K19" s="46" t="s">
        <v>14</v>
      </c>
      <c r="L19" s="47">
        <f t="shared" si="0"/>
        <v>11810</v>
      </c>
    </row>
    <row r="20" spans="2:12" x14ac:dyDescent="0.25">
      <c r="B20" s="39"/>
      <c r="C20" s="40"/>
      <c r="D20" s="49"/>
      <c r="E20" s="42" t="str">
        <f>IFERROR(VLOOKUP(B20,[1]LPM!$A$2:$N$1145,3,0),"")</f>
        <v/>
      </c>
      <c r="F20" s="43"/>
      <c r="G20" s="43"/>
      <c r="H20" s="44"/>
      <c r="I20" s="45" t="str">
        <f>IFERROR(VLOOKUP(B20,[1]LPM!$A$2:$N$1145,$E$3,0),"")</f>
        <v/>
      </c>
      <c r="J20" s="48" t="s">
        <v>13</v>
      </c>
      <c r="K20" s="48" t="s">
        <v>14</v>
      </c>
      <c r="L20" s="47" t="str">
        <f t="shared" si="0"/>
        <v/>
      </c>
    </row>
    <row r="21" spans="2:12" x14ac:dyDescent="0.25">
      <c r="B21" s="39" t="s">
        <v>25</v>
      </c>
      <c r="C21" s="40"/>
      <c r="D21" s="49">
        <v>1</v>
      </c>
      <c r="E21" s="42" t="str">
        <f>IFERROR(VLOOKUP(B21,[1]LPM!$A$2:$N$1145,3,0),"")</f>
        <v>LATA HOJALDRE CON DDL</v>
      </c>
      <c r="F21" s="43"/>
      <c r="G21" s="43"/>
      <c r="H21" s="44"/>
      <c r="I21" s="45">
        <f>IFERROR(VLOOKUP(B21,[1]LPM!$A$2:$N$1145,$E$3,0),"")</f>
        <v>15580</v>
      </c>
      <c r="J21" s="46"/>
      <c r="K21" s="46"/>
      <c r="L21" s="47">
        <f t="shared" si="0"/>
        <v>15580</v>
      </c>
    </row>
    <row r="22" spans="2:12" x14ac:dyDescent="0.25">
      <c r="B22" s="39" t="s">
        <v>26</v>
      </c>
      <c r="C22" s="40"/>
      <c r="D22" s="41">
        <v>1</v>
      </c>
      <c r="E22" s="42" t="str">
        <f>IFERROR(VLOOKUP(B22,[1]LPM!$A$2:$N$1145,3,0),"")</f>
        <v>LATA MEDIALUNA DE GRASA</v>
      </c>
      <c r="F22" s="43"/>
      <c r="G22" s="43"/>
      <c r="H22" s="44"/>
      <c r="I22" s="45">
        <f>IFERROR(VLOOKUP(B22,[1]LPM!$A$2:$N$1145,$E$3,0),"")</f>
        <v>16400</v>
      </c>
      <c r="J22" s="48" t="s">
        <v>13</v>
      </c>
      <c r="K22" s="48" t="s">
        <v>14</v>
      </c>
      <c r="L22" s="47">
        <f>IFERROR(I22*D22,"")</f>
        <v>16400</v>
      </c>
    </row>
    <row r="23" spans="2:12" x14ac:dyDescent="0.25">
      <c r="B23" s="39" t="s">
        <v>27</v>
      </c>
      <c r="C23" s="40"/>
      <c r="D23" s="41">
        <v>1</v>
      </c>
      <c r="E23" s="42" t="str">
        <f>IFERROR(VLOOKUP(B23,[1]LPM!$A$2:$N$1145,3,0),"")</f>
        <v>LATA SURTIDO DE GRASA</v>
      </c>
      <c r="F23" s="43"/>
      <c r="G23" s="43"/>
      <c r="H23" s="44"/>
      <c r="I23" s="45">
        <f>IFERROR(VLOOKUP(B23,[1]LPM!$A$2:$N$1145,$E$3,0),"")</f>
        <v>18860</v>
      </c>
      <c r="J23" s="46" t="s">
        <v>13</v>
      </c>
      <c r="K23" s="46" t="s">
        <v>14</v>
      </c>
      <c r="L23" s="47">
        <f t="shared" si="0"/>
        <v>18860</v>
      </c>
    </row>
    <row r="24" spans="2:12" x14ac:dyDescent="0.25">
      <c r="B24" s="39" t="s">
        <v>28</v>
      </c>
      <c r="C24" s="40"/>
      <c r="D24" s="41">
        <v>1</v>
      </c>
      <c r="E24" s="42" t="str">
        <f>IFERROR(VLOOKUP(B24,[1]LPM!$A$2:$N$1145,3,0),"")</f>
        <v>LATA LENGUITA</v>
      </c>
      <c r="F24" s="43"/>
      <c r="G24" s="43"/>
      <c r="H24" s="44"/>
      <c r="I24" s="45">
        <f>IFERROR(VLOOKUP(B24,[1]LPM!$A$2:$N$1145,$E$3,0),"")</f>
        <v>13450</v>
      </c>
      <c r="J24" s="48" t="s">
        <v>13</v>
      </c>
      <c r="K24" s="48" t="s">
        <v>14</v>
      </c>
      <c r="L24" s="47">
        <f t="shared" si="0"/>
        <v>13450</v>
      </c>
    </row>
    <row r="25" spans="2:12" x14ac:dyDescent="0.25">
      <c r="B25" s="39" t="s">
        <v>29</v>
      </c>
      <c r="C25" s="40"/>
      <c r="D25" s="49">
        <v>2</v>
      </c>
      <c r="E25" s="42" t="str">
        <f>IFERROR(VLOOKUP(B25,[1]LPM!$A$2:$N$1145,3,0),"")</f>
        <v>LATA MEDIALUNA MANTECA</v>
      </c>
      <c r="F25" s="43"/>
      <c r="G25" s="43"/>
      <c r="H25" s="44"/>
      <c r="I25" s="45">
        <f>IFERROR(VLOOKUP(B25,[1]LPM!$A$2:$N$1145,$E$3,0),"")</f>
        <v>20090</v>
      </c>
      <c r="J25" s="46" t="s">
        <v>13</v>
      </c>
      <c r="K25" s="46" t="s">
        <v>14</v>
      </c>
      <c r="L25" s="47">
        <f t="shared" si="0"/>
        <v>40180</v>
      </c>
    </row>
    <row r="26" spans="2:12" x14ac:dyDescent="0.25">
      <c r="B26" s="39" t="s">
        <v>30</v>
      </c>
      <c r="C26" s="40"/>
      <c r="D26" s="41">
        <v>1</v>
      </c>
      <c r="E26" s="42" t="str">
        <f>IFERROR(VLOOKUP(B26,[1]LPM!$A$2:$N$1145,3,0),"")</f>
        <v>LATA SURTIDO DE MANTECA</v>
      </c>
      <c r="F26" s="43"/>
      <c r="G26" s="43"/>
      <c r="H26" s="44"/>
      <c r="I26" s="45">
        <f>IFERROR(VLOOKUP(B26,[1]LPM!$A$2:$N$1145,$E$3,0),"")</f>
        <v>18860</v>
      </c>
      <c r="J26" s="48" t="s">
        <v>13</v>
      </c>
      <c r="K26" s="48" t="s">
        <v>14</v>
      </c>
      <c r="L26" s="47">
        <f t="shared" si="0"/>
        <v>18860</v>
      </c>
    </row>
    <row r="27" spans="2:12" x14ac:dyDescent="0.25">
      <c r="B27" s="39" t="s">
        <v>31</v>
      </c>
      <c r="C27" s="40"/>
      <c r="D27" s="41">
        <v>1</v>
      </c>
      <c r="E27" s="42" t="str">
        <f>IFERROR(VLOOKUP(B27,[1]LPM!$A$2:$N$1145,3,0),"")</f>
        <v>LATA PALITO DE GRASA</v>
      </c>
      <c r="F27" s="43"/>
      <c r="G27" s="43"/>
      <c r="H27" s="44"/>
      <c r="I27" s="45">
        <f>IFERROR(VLOOKUP(B27,[1]LPM!$A$2:$N$1145,$E$3,0),"")</f>
        <v>9840</v>
      </c>
      <c r="J27" s="46" t="s">
        <v>13</v>
      </c>
      <c r="K27" s="46" t="s">
        <v>14</v>
      </c>
      <c r="L27" s="47">
        <f t="shared" si="0"/>
        <v>9840</v>
      </c>
    </row>
    <row r="28" spans="2:12" x14ac:dyDescent="0.25">
      <c r="B28" s="39" t="s">
        <v>32</v>
      </c>
      <c r="C28" s="40"/>
      <c r="D28" s="41">
        <v>1</v>
      </c>
      <c r="E28" s="42" t="str">
        <f>IFERROR(VLOOKUP(B28,[1]LPM!$A$2:$N$1145,3,0),"")</f>
        <v>LATA SURTIDO DOBLE MANTECA</v>
      </c>
      <c r="F28" s="43"/>
      <c r="G28" s="43"/>
      <c r="H28" s="44"/>
      <c r="I28" s="45">
        <f>IFERROR(VLOOKUP(B28,[1]LPM!$A$2:$N$1145,$E$3,0),"")</f>
        <v>20090</v>
      </c>
      <c r="J28" s="48"/>
      <c r="K28" s="48"/>
      <c r="L28" s="47">
        <f t="shared" si="0"/>
        <v>20090</v>
      </c>
    </row>
    <row r="29" spans="2:12" x14ac:dyDescent="0.25">
      <c r="B29" s="39"/>
      <c r="C29" s="40"/>
      <c r="D29" s="41"/>
      <c r="E29" s="42" t="str">
        <f>IFERROR(VLOOKUP(B29,[1]LPM!$A$2:$N$1145,3,0),"")</f>
        <v/>
      </c>
      <c r="F29" s="43"/>
      <c r="G29" s="43"/>
      <c r="H29" s="44"/>
      <c r="I29" s="45" t="str">
        <f>IFERROR(VLOOKUP(B29,[1]LPM!$A$2:$N$1145,$E$3,0),"")</f>
        <v/>
      </c>
      <c r="J29" s="46"/>
      <c r="K29" s="46"/>
      <c r="L29" s="47" t="str">
        <f t="shared" si="0"/>
        <v/>
      </c>
    </row>
    <row r="30" spans="2:12" x14ac:dyDescent="0.25">
      <c r="B30" s="39"/>
      <c r="C30" s="40"/>
      <c r="D30" s="41"/>
      <c r="E30" s="42" t="str">
        <f>IFERROR(VLOOKUP(B30,[1]LPM!$A$2:$N$1145,3,0),"")</f>
        <v/>
      </c>
      <c r="F30" s="43"/>
      <c r="G30" s="43"/>
      <c r="H30" s="44"/>
      <c r="I30" s="45" t="str">
        <f>IFERROR(VLOOKUP(B30,[1]LPM!$A$2:$N$1145,$E$3,0),"")</f>
        <v/>
      </c>
      <c r="J30" s="48"/>
      <c r="K30" s="48"/>
      <c r="L30" s="47" t="str">
        <f t="shared" si="0"/>
        <v/>
      </c>
    </row>
    <row r="31" spans="2:12" x14ac:dyDescent="0.25">
      <c r="B31" s="39"/>
      <c r="C31" s="40"/>
      <c r="D31" s="41"/>
      <c r="E31" s="42" t="str">
        <f>IFERROR(VLOOKUP(B31,[1]LPM!$A$2:$N$1145,3,0),"")</f>
        <v/>
      </c>
      <c r="F31" s="43"/>
      <c r="G31" s="43"/>
      <c r="H31" s="44"/>
      <c r="I31" s="45" t="str">
        <f>IFERROR(VLOOKUP(B31,[1]LPM!$A$2:$N$1145,$E$3,0),"")</f>
        <v/>
      </c>
      <c r="J31" s="46"/>
      <c r="K31" s="46"/>
      <c r="L31" s="47" t="str">
        <f t="shared" si="0"/>
        <v/>
      </c>
    </row>
    <row r="32" spans="2:12" x14ac:dyDescent="0.25">
      <c r="B32" s="39"/>
      <c r="C32" s="40"/>
      <c r="D32" s="41"/>
      <c r="E32" s="42" t="str">
        <f>IFERROR(VLOOKUP(B32,[1]LPM!$A$2:$N$1145,3,0),"")</f>
        <v/>
      </c>
      <c r="F32" s="43"/>
      <c r="G32" s="43"/>
      <c r="H32" s="44"/>
      <c r="I32" s="45" t="str">
        <f>IFERROR(VLOOKUP(B32,[1]LPM!$A$2:$N$1145,$E$3,0),"")</f>
        <v/>
      </c>
      <c r="J32" s="48"/>
      <c r="K32" s="48"/>
      <c r="L32" s="47" t="str">
        <f t="shared" si="0"/>
        <v/>
      </c>
    </row>
    <row r="33" spans="2:12" x14ac:dyDescent="0.25">
      <c r="B33" s="39" t="s">
        <v>33</v>
      </c>
      <c r="C33" s="40"/>
      <c r="D33" s="41">
        <v>20</v>
      </c>
      <c r="E33" s="42" t="str">
        <f>IFERROR(VLOOKUP(B33,[1]LPM!$A$2:$N$1145,3,0),"")</f>
        <v>TORTA FRITA X UNIDAD (CRUDO)</v>
      </c>
      <c r="F33" s="43"/>
      <c r="G33" s="43"/>
      <c r="H33" s="44"/>
      <c r="I33" s="45">
        <f>IFERROR(VLOOKUP(B33,[1]LPM!$A$2:$N$1145,$E$3,0),"")</f>
        <v>370</v>
      </c>
      <c r="J33" s="46" t="s">
        <v>13</v>
      </c>
      <c r="K33" s="46" t="s">
        <v>14</v>
      </c>
      <c r="L33" s="47">
        <f t="shared" si="0"/>
        <v>7400</v>
      </c>
    </row>
    <row r="34" spans="2:12" x14ac:dyDescent="0.25">
      <c r="B34" s="39"/>
      <c r="C34" s="40"/>
      <c r="D34" s="41"/>
      <c r="E34" s="42" t="str">
        <f>IFERROR(VLOOKUP(B34,[1]LPM!$A$2:$N$1145,3,0),"")</f>
        <v/>
      </c>
      <c r="F34" s="43"/>
      <c r="G34" s="43"/>
      <c r="H34" s="44"/>
      <c r="I34" s="45" t="str">
        <f>IFERROR(VLOOKUP(B34,[1]LPM!$A$2:$N$1145,$E$3,0),"")</f>
        <v/>
      </c>
      <c r="J34" s="48"/>
      <c r="K34" s="48"/>
      <c r="L34" s="47" t="str">
        <f t="shared" si="0"/>
        <v/>
      </c>
    </row>
    <row r="35" spans="2:12" x14ac:dyDescent="0.25">
      <c r="B35" s="39" t="s">
        <v>34</v>
      </c>
      <c r="C35" s="40"/>
      <c r="D35" s="50">
        <v>1</v>
      </c>
      <c r="E35" s="42" t="str">
        <f>IFERROR(VLOOKUP(B35,[1]LPM!$A$2:$N$1145,3,0),"")</f>
        <v>LATA TORTA NEGRA</v>
      </c>
      <c r="F35" s="43"/>
      <c r="G35" s="43"/>
      <c r="H35" s="44"/>
      <c r="I35" s="45">
        <f>IFERROR(VLOOKUP(B35,[1]LPM!$A$2:$N$1145,$E$3,0),"")</f>
        <v>22140</v>
      </c>
      <c r="J35" s="46" t="s">
        <v>13</v>
      </c>
      <c r="K35" s="46" t="s">
        <v>14</v>
      </c>
      <c r="L35" s="47">
        <f t="shared" si="0"/>
        <v>22140</v>
      </c>
    </row>
    <row r="36" spans="2:12" x14ac:dyDescent="0.25">
      <c r="B36" s="39" t="s">
        <v>35</v>
      </c>
      <c r="C36" s="40"/>
      <c r="D36" s="50">
        <v>1</v>
      </c>
      <c r="E36" s="42" t="str">
        <f>IFERROR(VLOOKUP(B36,[1]LPM!$A$2:$N$1145,3,0),"")</f>
        <v>LATA MEDIALUNA CON DDL O PASTELERA</v>
      </c>
      <c r="F36" s="43"/>
      <c r="G36" s="43"/>
      <c r="H36" s="44"/>
      <c r="I36" s="45">
        <f>IFERROR(VLOOKUP(B36,[1]LPM!$A$2:$N$1145,$E$3,0),"")</f>
        <v>22140</v>
      </c>
      <c r="J36" s="48" t="s">
        <v>13</v>
      </c>
      <c r="K36" s="48" t="s">
        <v>14</v>
      </c>
      <c r="L36" s="47">
        <f t="shared" si="0"/>
        <v>22140</v>
      </c>
    </row>
    <row r="37" spans="2:12" x14ac:dyDescent="0.25">
      <c r="B37" s="39"/>
      <c r="C37" s="40"/>
      <c r="D37" s="41"/>
      <c r="E37" s="42" t="str">
        <f>IFERROR(VLOOKUP(B37,[1]LPM!$A$2:$N$1145,3,0),"")</f>
        <v/>
      </c>
      <c r="F37" s="43"/>
      <c r="G37" s="43"/>
      <c r="H37" s="44"/>
      <c r="I37" s="45" t="str">
        <f>IFERROR(VLOOKUP(B37,[1]LPM!$A$2:$N$1145,$E$3,0),"")</f>
        <v/>
      </c>
      <c r="J37" s="46"/>
      <c r="K37" s="46"/>
      <c r="L37" s="47" t="str">
        <f t="shared" si="0"/>
        <v/>
      </c>
    </row>
    <row r="38" spans="2:12" x14ac:dyDescent="0.25">
      <c r="B38" s="39"/>
      <c r="C38" s="40"/>
      <c r="D38" s="41"/>
      <c r="E38" s="42" t="str">
        <f>IFERROR(VLOOKUP(B38,[1]LPM!$A$2:$N$1145,3,0),"")</f>
        <v/>
      </c>
      <c r="F38" s="43"/>
      <c r="G38" s="43"/>
      <c r="H38" s="44"/>
      <c r="I38" s="45" t="str">
        <f>IFERROR(VLOOKUP(B38,[1]LPM!$A$2:$N$1145,$E$3,0),"")</f>
        <v/>
      </c>
      <c r="J38" s="48"/>
      <c r="K38" s="48"/>
      <c r="L38" s="47" t="str">
        <f t="shared" si="0"/>
        <v/>
      </c>
    </row>
    <row r="39" spans="2:12" x14ac:dyDescent="0.25">
      <c r="B39" s="39"/>
      <c r="C39" s="40"/>
      <c r="D39" s="41"/>
      <c r="E39" s="42" t="str">
        <f>IFERROR(VLOOKUP(B39,[1]LPM!$A$2:$N$1145,3,0),"")</f>
        <v/>
      </c>
      <c r="F39" s="43"/>
      <c r="G39" s="43"/>
      <c r="H39" s="44"/>
      <c r="I39" s="45" t="str">
        <f>IFERROR(VLOOKUP(B39,[1]LPM!$A$2:$N$1145,$E$3,0),"")</f>
        <v/>
      </c>
      <c r="J39" s="46"/>
      <c r="K39" s="46"/>
      <c r="L39" s="47" t="str">
        <f t="shared" si="0"/>
        <v/>
      </c>
    </row>
    <row r="40" spans="2:12" x14ac:dyDescent="0.25">
      <c r="B40" s="39" t="s">
        <v>36</v>
      </c>
      <c r="C40" s="40"/>
      <c r="D40" s="41">
        <v>1</v>
      </c>
      <c r="E40" s="42" t="str">
        <f>IFERROR(VLOOKUP(B40,[1]LPM!$A$2:$N$1145,3,0),"")</f>
        <v>ALEMANCITOS (3,1/3,3 kg) (CRUDO)</v>
      </c>
      <c r="F40" s="43"/>
      <c r="G40" s="43"/>
      <c r="H40" s="44"/>
      <c r="I40" s="45">
        <v>6480</v>
      </c>
      <c r="J40" s="48"/>
      <c r="K40" s="48"/>
      <c r="L40" s="47">
        <f t="shared" si="0"/>
        <v>6480</v>
      </c>
    </row>
    <row r="41" spans="2:12" x14ac:dyDescent="0.25">
      <c r="B41" s="39" t="s">
        <v>37</v>
      </c>
      <c r="C41" s="40"/>
      <c r="D41" s="41">
        <v>1</v>
      </c>
      <c r="E41" s="42" t="str">
        <f>IFERROR(VLOOKUP(B41,[1]LPM!$A$2:$N$1145,3,0),"")</f>
        <v>ROCETA CRUDA (CRUDO)</v>
      </c>
      <c r="F41" s="43"/>
      <c r="G41" s="43"/>
      <c r="H41" s="44"/>
      <c r="I41" s="45">
        <f>IFERROR(VLOOKUP(B41,[1]LPM!$A$2:$N$1145,$E$3,0),"")</f>
        <v>11480</v>
      </c>
      <c r="J41" s="46"/>
      <c r="K41" s="46"/>
      <c r="L41" s="47">
        <f t="shared" si="0"/>
        <v>11480</v>
      </c>
    </row>
    <row r="42" spans="2:12" x14ac:dyDescent="0.25">
      <c r="B42" s="39" t="s">
        <v>38</v>
      </c>
      <c r="C42" s="40"/>
      <c r="D42" s="41">
        <v>1</v>
      </c>
      <c r="E42" s="42" t="str">
        <f>IFERROR(VLOOKUP(B42,[1]LPM!$A$2:$N$1145,3,0),"")</f>
        <v>LATA SABORIZADO (CRUDO)</v>
      </c>
      <c r="F42" s="43"/>
      <c r="G42" s="43"/>
      <c r="H42" s="44"/>
      <c r="I42" s="45">
        <f>IFERROR(VLOOKUP(B42,[1]LPM!$A$2:$N$1145,$E$3,0),"")</f>
        <v>13120</v>
      </c>
      <c r="J42" s="46"/>
      <c r="K42" s="46"/>
      <c r="L42" s="47">
        <f t="shared" si="0"/>
        <v>13120</v>
      </c>
    </row>
    <row r="43" spans="2:12" x14ac:dyDescent="0.25">
      <c r="B43" s="39"/>
      <c r="C43" s="40"/>
      <c r="D43" s="41"/>
      <c r="E43" s="42" t="str">
        <f>IFERROR(VLOOKUP(B43,[1]LPM!$A$2:$N$1145,3,0),"")</f>
        <v/>
      </c>
      <c r="F43" s="43"/>
      <c r="G43" s="43"/>
      <c r="H43" s="44"/>
      <c r="I43" s="45" t="str">
        <f>IFERROR(VLOOKUP(B43,[1]LPM!$A$2:$N$1145,$E$3,0),"")</f>
        <v/>
      </c>
      <c r="J43" s="46"/>
      <c r="K43" s="46"/>
      <c r="L43" s="47" t="str">
        <f t="shared" si="0"/>
        <v/>
      </c>
    </row>
    <row r="44" spans="2:12" x14ac:dyDescent="0.25">
      <c r="B44" s="39" t="s">
        <v>39</v>
      </c>
      <c r="C44" s="40"/>
      <c r="D44" s="41">
        <v>3</v>
      </c>
      <c r="E44" s="42" t="str">
        <f>IFERROR(VLOOKUP(B44,[1]LPM!$A$2:$N$1145,3,0),"")</f>
        <v>CHIPA (CRUDO)</v>
      </c>
      <c r="F44" s="43"/>
      <c r="G44" s="43"/>
      <c r="H44" s="44"/>
      <c r="I44" s="45">
        <f>IFERROR(VLOOKUP(B44,[1]LPM!$A$2:$N$1145,$E$3,0),"")</f>
        <v>24930</v>
      </c>
      <c r="J44" s="48" t="s">
        <v>13</v>
      </c>
      <c r="K44" s="48" t="s">
        <v>14</v>
      </c>
      <c r="L44" s="47">
        <f t="shared" si="0"/>
        <v>74790</v>
      </c>
    </row>
    <row r="45" spans="2:12" x14ac:dyDescent="0.25">
      <c r="B45" s="39"/>
      <c r="C45" s="40"/>
      <c r="D45" s="41"/>
      <c r="E45" s="42" t="str">
        <f>IFERROR(VLOOKUP(B45,[1]LPM!$A$2:$N$1145,3,0),"")</f>
        <v/>
      </c>
      <c r="F45" s="43"/>
      <c r="G45" s="43"/>
      <c r="H45" s="44"/>
      <c r="I45" s="45" t="str">
        <f>IFERROR(VLOOKUP(B45,[1]LPM!$A$2:$N$1145,$E$3,0),"")</f>
        <v/>
      </c>
      <c r="J45" s="46"/>
      <c r="K45" s="46"/>
      <c r="L45" s="47" t="str">
        <f t="shared" si="0"/>
        <v/>
      </c>
    </row>
    <row r="46" spans="2:12" x14ac:dyDescent="0.25">
      <c r="B46" s="51"/>
      <c r="C46" s="52"/>
      <c r="D46" s="41"/>
      <c r="E46" s="42" t="str">
        <f>IFERROR(VLOOKUP(B46,[1]LPM!$A$2:$N$1145,3,0),"")</f>
        <v/>
      </c>
      <c r="F46" s="43"/>
      <c r="G46" s="43"/>
      <c r="H46" s="44"/>
      <c r="I46" s="45" t="str">
        <f>IFERROR(VLOOKUP(B46,[1]LPM!$A$2:$N$1145,$E$3,0),"")</f>
        <v/>
      </c>
      <c r="J46" s="46"/>
      <c r="K46" s="46"/>
      <c r="L46" s="47" t="str">
        <f t="shared" si="0"/>
        <v/>
      </c>
    </row>
    <row r="47" spans="2:12" x14ac:dyDescent="0.25">
      <c r="B47" s="39"/>
      <c r="C47" s="40"/>
      <c r="D47" s="41"/>
      <c r="E47" s="42" t="str">
        <f>IFERROR(VLOOKUP(B47,[1]LPM!$A$2:$N$1145,3,0),"")</f>
        <v/>
      </c>
      <c r="F47" s="43"/>
      <c r="G47" s="43"/>
      <c r="H47" s="44"/>
      <c r="I47" s="45" t="str">
        <f>IFERROR(VLOOKUP(B47,[1]LPM!$A$2:$N$1145,$E$3,0),"")</f>
        <v/>
      </c>
      <c r="J47" s="46"/>
      <c r="K47" s="46"/>
      <c r="L47" s="47" t="str">
        <f t="shared" si="0"/>
        <v/>
      </c>
    </row>
    <row r="48" spans="2:12" ht="13.5" thickBot="1" x14ac:dyDescent="0.3">
      <c r="B48" s="53"/>
      <c r="C48" s="54"/>
      <c r="D48" s="55"/>
      <c r="E48" s="42" t="str">
        <f>IFERROR(VLOOKUP(B48,[1]LPM!$A$2:$N$1145,3,0),"")</f>
        <v/>
      </c>
      <c r="F48" s="43"/>
      <c r="G48" s="43"/>
      <c r="H48" s="44"/>
      <c r="I48" s="45" t="str">
        <f>IFERROR(VLOOKUP(B48,[1]LPM!$A$2:$N$1145,$E$3,0),"")</f>
        <v/>
      </c>
      <c r="J48" s="56"/>
      <c r="K48" s="56"/>
      <c r="L48" s="57" t="str">
        <f t="shared" si="0"/>
        <v/>
      </c>
    </row>
    <row r="49" spans="2:12" ht="15" customHeight="1" thickBot="1" x14ac:dyDescent="0.3">
      <c r="B49" s="58" t="s">
        <v>40</v>
      </c>
      <c r="C49" s="59"/>
      <c r="D49" s="59"/>
      <c r="E49" s="59"/>
      <c r="F49" s="59"/>
      <c r="G49" s="59"/>
      <c r="H49" s="59"/>
      <c r="I49" s="59"/>
      <c r="J49" s="59"/>
      <c r="K49" s="59"/>
      <c r="L49" s="60"/>
    </row>
    <row r="50" spans="2:12" ht="13.5" thickBot="1" x14ac:dyDescent="0.3">
      <c r="B50" s="61" t="s">
        <v>41</v>
      </c>
      <c r="C50" s="62"/>
      <c r="D50" s="62"/>
      <c r="E50" s="63"/>
      <c r="F50" s="64"/>
      <c r="G50" s="65" t="s">
        <v>42</v>
      </c>
      <c r="H50" s="66"/>
      <c r="I50" s="67"/>
      <c r="J50" s="68"/>
      <c r="K50" s="69" t="s">
        <v>43</v>
      </c>
      <c r="L50" s="70"/>
    </row>
    <row r="51" spans="2:12" x14ac:dyDescent="0.25">
      <c r="B51" s="71" t="s">
        <v>44</v>
      </c>
      <c r="C51" s="72"/>
      <c r="D51" s="72"/>
      <c r="E51" s="73"/>
      <c r="F51" s="74"/>
      <c r="G51" s="75" t="s">
        <v>44</v>
      </c>
      <c r="H51" s="76"/>
      <c r="I51" s="77"/>
      <c r="J51" s="78"/>
      <c r="K51" s="79"/>
      <c r="L51" s="80" t="s">
        <v>44</v>
      </c>
    </row>
    <row r="52" spans="2:12" ht="13.5" thickBot="1" x14ac:dyDescent="0.3">
      <c r="B52" s="81" t="s">
        <v>45</v>
      </c>
      <c r="C52" s="82"/>
      <c r="D52" s="82"/>
      <c r="E52" s="83"/>
      <c r="F52" s="74"/>
      <c r="G52" s="84" t="s">
        <v>45</v>
      </c>
      <c r="H52" s="85"/>
      <c r="I52" s="86"/>
      <c r="J52" s="78"/>
      <c r="K52" s="87"/>
      <c r="L52" s="88" t="s">
        <v>46</v>
      </c>
    </row>
    <row r="53" spans="2:12" ht="13.5" thickBot="1" x14ac:dyDescent="0.3">
      <c r="B53" s="89"/>
      <c r="C53" s="90"/>
      <c r="D53" s="91"/>
      <c r="E53" s="92"/>
      <c r="F53" s="92"/>
      <c r="G53" s="92"/>
      <c r="H53" s="92"/>
      <c r="I53" s="93"/>
      <c r="J53" s="94"/>
      <c r="K53" s="94"/>
      <c r="L53" s="95"/>
    </row>
    <row r="54" spans="2:12" ht="15" customHeight="1" x14ac:dyDescent="0.25">
      <c r="B54" s="96" t="s">
        <v>47</v>
      </c>
      <c r="C54" s="97"/>
      <c r="D54" s="97"/>
      <c r="E54" s="97"/>
      <c r="F54" s="97"/>
      <c r="G54" s="98">
        <f>SUM(L7:L53)</f>
        <v>484810</v>
      </c>
      <c r="H54" s="98"/>
      <c r="I54" s="98"/>
      <c r="J54" s="98"/>
      <c r="K54" s="98"/>
      <c r="L54" s="99"/>
    </row>
    <row r="55" spans="2:12" ht="18.75" customHeight="1" thickBot="1" x14ac:dyDescent="0.3">
      <c r="B55" s="100"/>
      <c r="C55" s="101"/>
      <c r="D55" s="101"/>
      <c r="E55" s="101"/>
      <c r="F55" s="101"/>
      <c r="G55" s="102"/>
      <c r="H55" s="102"/>
      <c r="I55" s="102"/>
      <c r="J55" s="102"/>
      <c r="K55" s="102"/>
      <c r="L55" s="103"/>
    </row>
  </sheetData>
  <mergeCells count="55">
    <mergeCell ref="B51:D51"/>
    <mergeCell ref="G51:H51"/>
    <mergeCell ref="B52:D52"/>
    <mergeCell ref="G52:H52"/>
    <mergeCell ref="B53:C53"/>
    <mergeCell ref="B54:F55"/>
    <mergeCell ref="G54:L55"/>
    <mergeCell ref="B47:C47"/>
    <mergeCell ref="B48:C48"/>
    <mergeCell ref="B49:L49"/>
    <mergeCell ref="B50:E50"/>
    <mergeCell ref="G50:I50"/>
    <mergeCell ref="K50:L50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1:G1"/>
    <mergeCell ref="H1:L1"/>
    <mergeCell ref="C2:D2"/>
    <mergeCell ref="B7:C7"/>
    <mergeCell ref="B8:C8"/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971C-D79C-4A50-B5BE-B53CF1572996}">
  <dimension ref="B2:G31"/>
  <sheetViews>
    <sheetView workbookViewId="0">
      <selection activeCell="I13" sqref="I13"/>
    </sheetView>
  </sheetViews>
  <sheetFormatPr baseColWidth="10" defaultColWidth="11.42578125" defaultRowHeight="12.75" x14ac:dyDescent="0.25"/>
  <cols>
    <col min="1" max="1" width="4.5703125" style="104" customWidth="1"/>
    <col min="2" max="2" width="4.42578125" style="104" bestFit="1" customWidth="1"/>
    <col min="3" max="3" width="21.140625" style="104" bestFit="1" customWidth="1"/>
    <col min="4" max="4" width="11" style="104" customWidth="1"/>
    <col min="5" max="5" width="6.42578125" style="104" customWidth="1"/>
    <col min="6" max="16384" width="11.42578125" style="104"/>
  </cols>
  <sheetData>
    <row r="2" spans="2:7" ht="18.75" customHeight="1" x14ac:dyDescent="0.25">
      <c r="B2" s="105" t="s">
        <v>0</v>
      </c>
      <c r="C2" s="106"/>
      <c r="D2" s="107">
        <f ca="1">NOW()</f>
        <v>46221.397979629626</v>
      </c>
      <c r="E2" s="108"/>
      <c r="F2" s="109"/>
      <c r="G2" s="110"/>
    </row>
    <row r="3" spans="2:7" ht="18.75" x14ac:dyDescent="0.25">
      <c r="B3" s="111"/>
      <c r="C3" s="112"/>
      <c r="D3" s="113"/>
      <c r="E3" s="114"/>
      <c r="F3" s="115"/>
    </row>
    <row r="4" spans="2:7" ht="18.75" x14ac:dyDescent="0.25">
      <c r="B4" s="116" t="s">
        <v>1</v>
      </c>
      <c r="C4" s="117" t="s">
        <v>48</v>
      </c>
      <c r="D4" s="112" t="str">
        <f>VLOOKUP(C4,[1]Clientes!A3:L189,2)</f>
        <v>ITALIA</v>
      </c>
      <c r="E4" s="113"/>
      <c r="F4" s="114"/>
    </row>
    <row r="5" spans="2:7" x14ac:dyDescent="0.25">
      <c r="B5" s="118"/>
      <c r="F5" s="119"/>
    </row>
    <row r="6" spans="2:7" x14ac:dyDescent="0.25">
      <c r="B6" s="120" t="s">
        <v>4</v>
      </c>
      <c r="C6" s="121">
        <f>VLOOKUP(C4,[1]Clientes!A3:L189,3)</f>
        <v>6</v>
      </c>
      <c r="D6" s="122" t="s">
        <v>3</v>
      </c>
      <c r="E6" s="123"/>
      <c r="F6" s="124" t="str">
        <f>VLOOKUP(C4,[1]Clientes!$A$3:$M$199,13)</f>
        <v>10/11hs</v>
      </c>
    </row>
    <row r="7" spans="2:7" x14ac:dyDescent="0.25">
      <c r="B7" s="118"/>
      <c r="F7" s="119"/>
    </row>
    <row r="8" spans="2:7" x14ac:dyDescent="0.25">
      <c r="B8" s="125" t="s">
        <v>5</v>
      </c>
      <c r="C8" s="126"/>
      <c r="D8" s="127" t="str">
        <f>VLOOKUP(C4,[1]Clientes!A3:L189,4)</f>
        <v>ITALIA ESQUINA MITRE</v>
      </c>
      <c r="E8" s="128"/>
      <c r="F8" s="129"/>
    </row>
    <row r="9" spans="2:7" ht="18.75" x14ac:dyDescent="0.25">
      <c r="B9" s="130"/>
      <c r="C9" s="131"/>
      <c r="D9" s="132"/>
      <c r="E9" s="132"/>
      <c r="F9" s="115"/>
    </row>
    <row r="10" spans="2:7" x14ac:dyDescent="0.25">
      <c r="B10" s="125" t="s">
        <v>6</v>
      </c>
      <c r="C10" s="126"/>
      <c r="D10" s="127">
        <f>VLOOKUP(C4,[1]Clientes!A3:L189,7)</f>
        <v>0</v>
      </c>
      <c r="E10" s="128"/>
      <c r="F10" s="129"/>
    </row>
    <row r="11" spans="2:7" ht="18.75" x14ac:dyDescent="0.25">
      <c r="B11" s="130"/>
      <c r="C11" s="131"/>
      <c r="D11" s="132"/>
      <c r="E11" s="132"/>
      <c r="F11" s="115"/>
    </row>
    <row r="12" spans="2:7" x14ac:dyDescent="0.25">
      <c r="B12" s="133"/>
      <c r="C12" s="133" t="s">
        <v>8</v>
      </c>
      <c r="D12" s="133" t="s">
        <v>9</v>
      </c>
      <c r="E12" s="133" t="s">
        <v>7</v>
      </c>
      <c r="F12" s="133" t="s">
        <v>11</v>
      </c>
    </row>
    <row r="13" spans="2:7" x14ac:dyDescent="0.25">
      <c r="B13" s="134" t="s">
        <v>52</v>
      </c>
      <c r="C13" s="43" t="str">
        <f>IFERROR(VLOOKUP(B13,[1]LPM!$A$2:$N$1145,3,0),"")</f>
        <v>FIGASA</v>
      </c>
      <c r="D13" s="135">
        <f>IFERROR(VLOOKUP(B13,[1]LPM!$A$2:$N$1145,$C$6,0),"")</f>
        <v>3850</v>
      </c>
      <c r="E13" s="136"/>
      <c r="F13" s="137">
        <f>IFERROR(D13*E13,"")</f>
        <v>0</v>
      </c>
    </row>
    <row r="14" spans="2:7" x14ac:dyDescent="0.25">
      <c r="B14" s="134"/>
      <c r="C14" s="43"/>
      <c r="D14" s="135" t="str">
        <f>IFERROR(VLOOKUP(B14,[1]LPM!$A$2:$N$1145,$C$6,0),"")</f>
        <v/>
      </c>
      <c r="E14" s="136"/>
      <c r="F14" s="137" t="str">
        <f t="shared" ref="F14:F27" si="0">IFERROR(D14*E14,"")</f>
        <v/>
      </c>
    </row>
    <row r="15" spans="2:7" x14ac:dyDescent="0.25">
      <c r="B15" s="134"/>
      <c r="C15" s="43" t="str">
        <f>IFERROR(VLOOKUP(B15,[1]LPM!$A$2:$N$1145,3,0),"")</f>
        <v/>
      </c>
      <c r="D15" s="135" t="str">
        <f>IFERROR(VLOOKUP(B15,[1]LPM!$A$2:$N$1145,$C$6,0),"")</f>
        <v/>
      </c>
      <c r="E15" s="136"/>
      <c r="F15" s="137" t="str">
        <f t="shared" si="0"/>
        <v/>
      </c>
      <c r="G15" s="138"/>
    </row>
    <row r="16" spans="2:7" x14ac:dyDescent="0.25">
      <c r="B16" s="134"/>
      <c r="C16" s="43" t="str">
        <f>IFERROR(VLOOKUP(B16,[1]LPM!$A$2:$N$1145,3,0),"")</f>
        <v/>
      </c>
      <c r="D16" s="135" t="str">
        <f>IFERROR(VLOOKUP(B16,[1]LPM!$A$2:$N$1145,$C$6,0),"")</f>
        <v/>
      </c>
      <c r="E16" s="136"/>
      <c r="F16" s="137" t="str">
        <f t="shared" si="0"/>
        <v/>
      </c>
    </row>
    <row r="17" spans="2:7" x14ac:dyDescent="0.25">
      <c r="B17" s="134"/>
      <c r="C17" s="43" t="str">
        <f>IFERROR(VLOOKUP(B17,[1]LPM!$A$2:$N$1145,3,0),"")</f>
        <v/>
      </c>
      <c r="D17" s="135" t="str">
        <f>IFERROR(VLOOKUP(B17,[1]LPM!$A$2:$N$1145,$C$6,0),"")</f>
        <v/>
      </c>
      <c r="E17" s="136"/>
      <c r="F17" s="137" t="str">
        <f t="shared" si="0"/>
        <v/>
      </c>
      <c r="G17" s="138"/>
    </row>
    <row r="18" spans="2:7" x14ac:dyDescent="0.25">
      <c r="B18" s="134"/>
      <c r="C18" s="43" t="str">
        <f>IFERROR(VLOOKUP(B18,[1]LPM!$A$2:$N$1145,3,0),"")</f>
        <v/>
      </c>
      <c r="D18" s="135" t="str">
        <f>IFERROR(VLOOKUP(B18,[1]LPM!$A$2:$N$1145,$C$6,0),"")</f>
        <v/>
      </c>
      <c r="E18" s="136"/>
      <c r="F18" s="137" t="str">
        <f t="shared" si="0"/>
        <v/>
      </c>
    </row>
    <row r="19" spans="2:7" x14ac:dyDescent="0.25">
      <c r="B19" s="134"/>
      <c r="C19" s="43" t="str">
        <f>IFERROR(VLOOKUP(B19,[1]LPM!$A$2:$N$1145,3,0),"")</f>
        <v/>
      </c>
      <c r="D19" s="135" t="str">
        <f>IFERROR(VLOOKUP(B19,[1]LPM!$A$2:$N$1145,$C$6,0),"")</f>
        <v/>
      </c>
      <c r="E19" s="136"/>
      <c r="F19" s="137" t="str">
        <f t="shared" si="0"/>
        <v/>
      </c>
    </row>
    <row r="20" spans="2:7" x14ac:dyDescent="0.25">
      <c r="B20" s="134"/>
      <c r="C20" s="43" t="str">
        <f>IFERROR(VLOOKUP(B20,[1]LPM!$A$2:$N$1145,3,0),"")</f>
        <v/>
      </c>
      <c r="D20" s="135" t="str">
        <f>IFERROR(VLOOKUP(B20,[1]LPM!$A$2:$N$1145,$C$6,0),"")</f>
        <v/>
      </c>
      <c r="E20" s="136"/>
      <c r="F20" s="137" t="str">
        <f t="shared" si="0"/>
        <v/>
      </c>
    </row>
    <row r="21" spans="2:7" x14ac:dyDescent="0.25">
      <c r="B21" s="134"/>
      <c r="C21" s="43" t="str">
        <f>IFERROR(VLOOKUP(B21,[1]LPM!$A$2:$N$1145,3,0),"")</f>
        <v/>
      </c>
      <c r="D21" s="135" t="str">
        <f>IFERROR(VLOOKUP(B21,[1]LPM!$A$2:$N$1145,$C$6,0),"")</f>
        <v/>
      </c>
      <c r="E21" s="136"/>
      <c r="F21" s="137" t="str">
        <f t="shared" si="0"/>
        <v/>
      </c>
    </row>
    <row r="22" spans="2:7" x14ac:dyDescent="0.25">
      <c r="B22" s="134"/>
      <c r="C22" s="43" t="str">
        <f>IFERROR(VLOOKUP(B22,[1]LPM!$A$2:$N$1145,3,0),"")</f>
        <v/>
      </c>
      <c r="D22" s="135" t="str">
        <f>IFERROR(VLOOKUP(B22,[1]LPM!$A$2:$N$1145,$C$6,0),"")</f>
        <v/>
      </c>
      <c r="E22" s="136"/>
      <c r="F22" s="137" t="str">
        <f t="shared" si="0"/>
        <v/>
      </c>
    </row>
    <row r="23" spans="2:7" x14ac:dyDescent="0.25">
      <c r="B23" s="134"/>
      <c r="C23" s="43" t="str">
        <f>IFERROR(VLOOKUP(B23,[1]LPM!$A$2:$N$1145,3,0),"")</f>
        <v/>
      </c>
      <c r="D23" s="135" t="str">
        <f>IFERROR(VLOOKUP(B23,[1]LPM!$A$2:$N$1145,$C$6,0),"")</f>
        <v/>
      </c>
      <c r="E23" s="136"/>
      <c r="F23" s="137" t="str">
        <f t="shared" si="0"/>
        <v/>
      </c>
    </row>
    <row r="24" spans="2:7" x14ac:dyDescent="0.25">
      <c r="B24" s="134"/>
      <c r="C24" s="43" t="str">
        <f>IFERROR(VLOOKUP(B24,[1]LPM!$A$2:$N$1145,3,0),"")</f>
        <v/>
      </c>
      <c r="D24" s="135" t="str">
        <f>IFERROR(VLOOKUP(B24,[1]LPM!$A$2:$N$1145,$C$6,0),"")</f>
        <v/>
      </c>
      <c r="E24" s="136"/>
      <c r="F24" s="137" t="str">
        <f t="shared" si="0"/>
        <v/>
      </c>
    </row>
    <row r="25" spans="2:7" x14ac:dyDescent="0.25">
      <c r="B25" s="134"/>
      <c r="C25" s="43" t="str">
        <f>IFERROR(VLOOKUP(B25,[1]LPM!$A$2:$N$1145,3,0),"")</f>
        <v/>
      </c>
      <c r="D25" s="135" t="str">
        <f>IFERROR(VLOOKUP(B25,[1]LPM!$A$2:$N$1145,$C$6,0),"")</f>
        <v/>
      </c>
      <c r="E25" s="136"/>
      <c r="F25" s="137" t="str">
        <f t="shared" si="0"/>
        <v/>
      </c>
    </row>
    <row r="26" spans="2:7" x14ac:dyDescent="0.25">
      <c r="B26" s="134"/>
      <c r="C26" s="43" t="str">
        <f>IFERROR(VLOOKUP(B26,[1]LPM!$A$2:$N$1145,3,0),"")</f>
        <v/>
      </c>
      <c r="D26" s="135" t="str">
        <f>IFERROR(VLOOKUP(B26,[1]LPM!$A$2:$N$1145,$C$6,0),"")</f>
        <v/>
      </c>
      <c r="E26" s="136"/>
      <c r="F26" s="137" t="str">
        <f t="shared" si="0"/>
        <v/>
      </c>
    </row>
    <row r="27" spans="2:7" ht="13.5" thickBot="1" x14ac:dyDescent="0.3">
      <c r="B27" s="134"/>
      <c r="C27" s="43" t="str">
        <f>IFERROR(VLOOKUP(B27,[1]LPM!$A$2:$N$1145,3,0),"")</f>
        <v/>
      </c>
      <c r="D27" s="135" t="str">
        <f>IFERROR(VLOOKUP(B27,[1]LPM!$A$2:$N$1145,$C$6,0),"")</f>
        <v/>
      </c>
      <c r="E27" s="136"/>
      <c r="F27" s="137" t="str">
        <f t="shared" si="0"/>
        <v/>
      </c>
    </row>
    <row r="28" spans="2:7" x14ac:dyDescent="0.25">
      <c r="B28" s="139"/>
      <c r="C28" s="140"/>
      <c r="D28" s="141" t="str">
        <f>IFERROR(VLOOKUP(B28,[1]LPM!$A$2:$N$1145,$C$6,0),"")</f>
        <v/>
      </c>
      <c r="E28" s="142"/>
      <c r="F28" s="143"/>
    </row>
    <row r="29" spans="2:7" x14ac:dyDescent="0.25">
      <c r="B29" s="144"/>
      <c r="C29" s="145"/>
      <c r="D29" s="146"/>
      <c r="E29" s="147"/>
      <c r="F29" s="148"/>
    </row>
    <row r="30" spans="2:7" ht="18.75" x14ac:dyDescent="0.25">
      <c r="B30" s="149" t="s">
        <v>47</v>
      </c>
      <c r="C30" s="150"/>
      <c r="D30" s="151">
        <f>SUM(F9:F27)</f>
        <v>0</v>
      </c>
      <c r="E30" s="152"/>
      <c r="F30" s="153"/>
    </row>
    <row r="31" spans="2:7" x14ac:dyDescent="0.25">
      <c r="F31" s="154"/>
    </row>
  </sheetData>
  <mergeCells count="13">
    <mergeCell ref="B10:C10"/>
    <mergeCell ref="D10:F10"/>
    <mergeCell ref="B28:C29"/>
    <mergeCell ref="D28:F29"/>
    <mergeCell ref="B30:C30"/>
    <mergeCell ref="D30:F30"/>
    <mergeCell ref="B2:C2"/>
    <mergeCell ref="D2:F2"/>
    <mergeCell ref="C3:E3"/>
    <mergeCell ref="D4:F4"/>
    <mergeCell ref="D6:E6"/>
    <mergeCell ref="B8:C8"/>
    <mergeCell ref="D8:F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3146-642C-4EA5-89FF-BCC5D37D6AA4}">
  <dimension ref="A1:Q770"/>
  <sheetViews>
    <sheetView workbookViewId="0">
      <selection activeCell="Q6" sqref="Q6"/>
    </sheetView>
  </sheetViews>
  <sheetFormatPr baseColWidth="10" defaultRowHeight="15" x14ac:dyDescent="0.25"/>
  <cols>
    <col min="1" max="1" width="4.85546875" style="166" bestFit="1" customWidth="1"/>
    <col min="2" max="2" width="14.85546875" style="244" customWidth="1"/>
    <col min="3" max="3" width="43.140625" style="166" customWidth="1"/>
    <col min="4" max="4" width="10.85546875" style="245" hidden="1" customWidth="1"/>
    <col min="5" max="5" width="12" style="74" bestFit="1" customWidth="1"/>
    <col min="6" max="6" width="12" style="256" bestFit="1" customWidth="1"/>
    <col min="7" max="8" width="10.85546875" style="74" customWidth="1"/>
    <col min="9" max="9" width="10.85546875" style="74" bestFit="1" customWidth="1"/>
    <col min="10" max="11" width="10.85546875" style="257" customWidth="1"/>
    <col min="12" max="12" width="9.85546875" style="254" bestFit="1" customWidth="1"/>
    <col min="13" max="13" width="10.7109375" style="255" bestFit="1" customWidth="1"/>
    <col min="14" max="14" width="18.5703125" style="254" bestFit="1" customWidth="1"/>
    <col min="15" max="15" width="9.85546875" style="166" bestFit="1" customWidth="1"/>
    <col min="16" max="74" width="11.42578125" style="166"/>
    <col min="75" max="75" width="6.28515625" style="166" bestFit="1" customWidth="1"/>
    <col min="76" max="76" width="19.28515625" style="166" bestFit="1" customWidth="1"/>
    <col min="77" max="77" width="59.7109375" style="166" bestFit="1" customWidth="1"/>
    <col min="78" max="79" width="13.85546875" style="166" bestFit="1" customWidth="1"/>
    <col min="80" max="80" width="11.42578125" style="166"/>
    <col min="81" max="83" width="12.42578125" style="166" bestFit="1" customWidth="1"/>
    <col min="84" max="84" width="11.42578125" style="166"/>
    <col min="85" max="86" width="12.42578125" style="166" bestFit="1" customWidth="1"/>
    <col min="87" max="87" width="18.7109375" style="166" bestFit="1" customWidth="1"/>
    <col min="88" max="88" width="12.85546875" style="166" bestFit="1" customWidth="1"/>
    <col min="89" max="89" width="13.5703125" style="166" bestFit="1" customWidth="1"/>
    <col min="90" max="90" width="10.42578125" style="166" bestFit="1" customWidth="1"/>
    <col min="91" max="91" width="9" style="166" bestFit="1" customWidth="1"/>
    <col min="92" max="92" width="11.140625" style="166" customWidth="1"/>
    <col min="93" max="94" width="9.85546875" style="166" customWidth="1"/>
    <col min="95" max="95" width="8.85546875" style="166" customWidth="1"/>
    <col min="96" max="97" width="9.85546875" style="166" customWidth="1"/>
    <col min="98" max="98" width="13.28515625" style="166" bestFit="1" customWidth="1"/>
    <col min="99" max="99" width="15.85546875" style="166" bestFit="1" customWidth="1"/>
    <col min="100" max="100" width="8" style="166" bestFit="1" customWidth="1"/>
    <col min="101" max="101" width="12.85546875" style="166" bestFit="1" customWidth="1"/>
    <col min="102" max="330" width="11.42578125" style="166"/>
    <col min="331" max="331" width="6.28515625" style="166" bestFit="1" customWidth="1"/>
    <col min="332" max="332" width="19.28515625" style="166" bestFit="1" customWidth="1"/>
    <col min="333" max="333" width="59.7109375" style="166" bestFit="1" customWidth="1"/>
    <col min="334" max="335" width="13.85546875" style="166" bestFit="1" customWidth="1"/>
    <col min="336" max="336" width="11.42578125" style="166"/>
    <col min="337" max="339" width="12.42578125" style="166" bestFit="1" customWidth="1"/>
    <col min="340" max="340" width="11.42578125" style="166"/>
    <col min="341" max="342" width="12.42578125" style="166" bestFit="1" customWidth="1"/>
    <col min="343" max="343" width="18.7109375" style="166" bestFit="1" customWidth="1"/>
    <col min="344" max="344" width="12.85546875" style="166" bestFit="1" customWidth="1"/>
    <col min="345" max="345" width="13.5703125" style="166" bestFit="1" customWidth="1"/>
    <col min="346" max="346" width="10.42578125" style="166" bestFit="1" customWidth="1"/>
    <col min="347" max="347" width="9" style="166" bestFit="1" customWidth="1"/>
    <col min="348" max="348" width="11.140625" style="166" customWidth="1"/>
    <col min="349" max="350" width="9.85546875" style="166" customWidth="1"/>
    <col min="351" max="351" width="8.85546875" style="166" customWidth="1"/>
    <col min="352" max="353" width="9.85546875" style="166" customWidth="1"/>
    <col min="354" max="354" width="13.28515625" style="166" bestFit="1" customWidth="1"/>
    <col min="355" max="355" width="15.85546875" style="166" bestFit="1" customWidth="1"/>
    <col min="356" max="356" width="8" style="166" bestFit="1" customWidth="1"/>
    <col min="357" max="357" width="12.85546875" style="166" bestFit="1" customWidth="1"/>
    <col min="358" max="586" width="11.42578125" style="166"/>
    <col min="587" max="587" width="6.28515625" style="166" bestFit="1" customWidth="1"/>
    <col min="588" max="588" width="19.28515625" style="166" bestFit="1" customWidth="1"/>
    <col min="589" max="589" width="59.7109375" style="166" bestFit="1" customWidth="1"/>
    <col min="590" max="591" width="13.85546875" style="166" bestFit="1" customWidth="1"/>
    <col min="592" max="592" width="11.42578125" style="166"/>
    <col min="593" max="595" width="12.42578125" style="166" bestFit="1" customWidth="1"/>
    <col min="596" max="596" width="11.42578125" style="166"/>
    <col min="597" max="598" width="12.42578125" style="166" bestFit="1" customWidth="1"/>
    <col min="599" max="599" width="18.7109375" style="166" bestFit="1" customWidth="1"/>
    <col min="600" max="600" width="12.85546875" style="166" bestFit="1" customWidth="1"/>
    <col min="601" max="601" width="13.5703125" style="166" bestFit="1" customWidth="1"/>
    <col min="602" max="602" width="10.42578125" style="166" bestFit="1" customWidth="1"/>
    <col min="603" max="603" width="9" style="166" bestFit="1" customWidth="1"/>
    <col min="604" max="604" width="11.140625" style="166" customWidth="1"/>
    <col min="605" max="606" width="9.85546875" style="166" customWidth="1"/>
    <col min="607" max="607" width="8.85546875" style="166" customWidth="1"/>
    <col min="608" max="609" width="9.85546875" style="166" customWidth="1"/>
    <col min="610" max="610" width="13.28515625" style="166" bestFit="1" customWidth="1"/>
    <col min="611" max="611" width="15.85546875" style="166" bestFit="1" customWidth="1"/>
    <col min="612" max="612" width="8" style="166" bestFit="1" customWidth="1"/>
    <col min="613" max="613" width="12.85546875" style="166" bestFit="1" customWidth="1"/>
    <col min="614" max="842" width="11.42578125" style="166"/>
    <col min="843" max="843" width="6.28515625" style="166" bestFit="1" customWidth="1"/>
    <col min="844" max="844" width="19.28515625" style="166" bestFit="1" customWidth="1"/>
    <col min="845" max="845" width="59.7109375" style="166" bestFit="1" customWidth="1"/>
    <col min="846" max="847" width="13.85546875" style="166" bestFit="1" customWidth="1"/>
    <col min="848" max="848" width="11.42578125" style="166"/>
    <col min="849" max="851" width="12.42578125" style="166" bestFit="1" customWidth="1"/>
    <col min="852" max="852" width="11.42578125" style="166"/>
    <col min="853" max="854" width="12.42578125" style="166" bestFit="1" customWidth="1"/>
    <col min="855" max="855" width="18.7109375" style="166" bestFit="1" customWidth="1"/>
    <col min="856" max="856" width="12.85546875" style="166" bestFit="1" customWidth="1"/>
    <col min="857" max="857" width="13.5703125" style="166" bestFit="1" customWidth="1"/>
    <col min="858" max="858" width="10.42578125" style="166" bestFit="1" customWidth="1"/>
    <col min="859" max="859" width="9" style="166" bestFit="1" customWidth="1"/>
    <col min="860" max="860" width="11.140625" style="166" customWidth="1"/>
    <col min="861" max="862" width="9.85546875" style="166" customWidth="1"/>
    <col min="863" max="863" width="8.85546875" style="166" customWidth="1"/>
    <col min="864" max="865" width="9.85546875" style="166" customWidth="1"/>
    <col min="866" max="866" width="13.28515625" style="166" bestFit="1" customWidth="1"/>
    <col min="867" max="867" width="15.85546875" style="166" bestFit="1" customWidth="1"/>
    <col min="868" max="868" width="8" style="166" bestFit="1" customWidth="1"/>
    <col min="869" max="869" width="12.85546875" style="166" bestFit="1" customWidth="1"/>
    <col min="870" max="1098" width="11.42578125" style="166"/>
    <col min="1099" max="1099" width="6.28515625" style="166" bestFit="1" customWidth="1"/>
    <col min="1100" max="1100" width="19.28515625" style="166" bestFit="1" customWidth="1"/>
    <col min="1101" max="1101" width="59.7109375" style="166" bestFit="1" customWidth="1"/>
    <col min="1102" max="1103" width="13.85546875" style="166" bestFit="1" customWidth="1"/>
    <col min="1104" max="1104" width="11.42578125" style="166"/>
    <col min="1105" max="1107" width="12.42578125" style="166" bestFit="1" customWidth="1"/>
    <col min="1108" max="1108" width="11.42578125" style="166"/>
    <col min="1109" max="1110" width="12.42578125" style="166" bestFit="1" customWidth="1"/>
    <col min="1111" max="1111" width="18.7109375" style="166" bestFit="1" customWidth="1"/>
    <col min="1112" max="1112" width="12.85546875" style="166" bestFit="1" customWidth="1"/>
    <col min="1113" max="1113" width="13.5703125" style="166" bestFit="1" customWidth="1"/>
    <col min="1114" max="1114" width="10.42578125" style="166" bestFit="1" customWidth="1"/>
    <col min="1115" max="1115" width="9" style="166" bestFit="1" customWidth="1"/>
    <col min="1116" max="1116" width="11.140625" style="166" customWidth="1"/>
    <col min="1117" max="1118" width="9.85546875" style="166" customWidth="1"/>
    <col min="1119" max="1119" width="8.85546875" style="166" customWidth="1"/>
    <col min="1120" max="1121" width="9.85546875" style="166" customWidth="1"/>
    <col min="1122" max="1122" width="13.28515625" style="166" bestFit="1" customWidth="1"/>
    <col min="1123" max="1123" width="15.85546875" style="166" bestFit="1" customWidth="1"/>
    <col min="1124" max="1124" width="8" style="166" bestFit="1" customWidth="1"/>
    <col min="1125" max="1125" width="12.85546875" style="166" bestFit="1" customWidth="1"/>
    <col min="1126" max="1354" width="11.42578125" style="166"/>
    <col min="1355" max="1355" width="6.28515625" style="166" bestFit="1" customWidth="1"/>
    <col min="1356" max="1356" width="19.28515625" style="166" bestFit="1" customWidth="1"/>
    <col min="1357" max="1357" width="59.7109375" style="166" bestFit="1" customWidth="1"/>
    <col min="1358" max="1359" width="13.85546875" style="166" bestFit="1" customWidth="1"/>
    <col min="1360" max="1360" width="11.42578125" style="166"/>
    <col min="1361" max="1363" width="12.42578125" style="166" bestFit="1" customWidth="1"/>
    <col min="1364" max="1364" width="11.42578125" style="166"/>
    <col min="1365" max="1366" width="12.42578125" style="166" bestFit="1" customWidth="1"/>
    <col min="1367" max="1367" width="18.7109375" style="166" bestFit="1" customWidth="1"/>
    <col min="1368" max="1368" width="12.85546875" style="166" bestFit="1" customWidth="1"/>
    <col min="1369" max="1369" width="13.5703125" style="166" bestFit="1" customWidth="1"/>
    <col min="1370" max="1370" width="10.42578125" style="166" bestFit="1" customWidth="1"/>
    <col min="1371" max="1371" width="9" style="166" bestFit="1" customWidth="1"/>
    <col min="1372" max="1372" width="11.140625" style="166" customWidth="1"/>
    <col min="1373" max="1374" width="9.85546875" style="166" customWidth="1"/>
    <col min="1375" max="1375" width="8.85546875" style="166" customWidth="1"/>
    <col min="1376" max="1377" width="9.85546875" style="166" customWidth="1"/>
    <col min="1378" max="1378" width="13.28515625" style="166" bestFit="1" customWidth="1"/>
    <col min="1379" max="1379" width="15.85546875" style="166" bestFit="1" customWidth="1"/>
    <col min="1380" max="1380" width="8" style="166" bestFit="1" customWidth="1"/>
    <col min="1381" max="1381" width="12.85546875" style="166" bestFit="1" customWidth="1"/>
    <col min="1382" max="1610" width="11.42578125" style="166"/>
    <col min="1611" max="1611" width="6.28515625" style="166" bestFit="1" customWidth="1"/>
    <col min="1612" max="1612" width="19.28515625" style="166" bestFit="1" customWidth="1"/>
    <col min="1613" max="1613" width="59.7109375" style="166" bestFit="1" customWidth="1"/>
    <col min="1614" max="1615" width="13.85546875" style="166" bestFit="1" customWidth="1"/>
    <col min="1616" max="1616" width="11.42578125" style="166"/>
    <col min="1617" max="1619" width="12.42578125" style="166" bestFit="1" customWidth="1"/>
    <col min="1620" max="1620" width="11.42578125" style="166"/>
    <col min="1621" max="1622" width="12.42578125" style="166" bestFit="1" customWidth="1"/>
    <col min="1623" max="1623" width="18.7109375" style="166" bestFit="1" customWidth="1"/>
    <col min="1624" max="1624" width="12.85546875" style="166" bestFit="1" customWidth="1"/>
    <col min="1625" max="1625" width="13.5703125" style="166" bestFit="1" customWidth="1"/>
    <col min="1626" max="1626" width="10.42578125" style="166" bestFit="1" customWidth="1"/>
    <col min="1627" max="1627" width="9" style="166" bestFit="1" customWidth="1"/>
    <col min="1628" max="1628" width="11.140625" style="166" customWidth="1"/>
    <col min="1629" max="1630" width="9.85546875" style="166" customWidth="1"/>
    <col min="1631" max="1631" width="8.85546875" style="166" customWidth="1"/>
    <col min="1632" max="1633" width="9.85546875" style="166" customWidth="1"/>
    <col min="1634" max="1634" width="13.28515625" style="166" bestFit="1" customWidth="1"/>
    <col min="1635" max="1635" width="15.85546875" style="166" bestFit="1" customWidth="1"/>
    <col min="1636" max="1636" width="8" style="166" bestFit="1" customWidth="1"/>
    <col min="1637" max="1637" width="12.85546875" style="166" bestFit="1" customWidth="1"/>
    <col min="1638" max="1866" width="11.42578125" style="166"/>
    <col min="1867" max="1867" width="6.28515625" style="166" bestFit="1" customWidth="1"/>
    <col min="1868" max="1868" width="19.28515625" style="166" bestFit="1" customWidth="1"/>
    <col min="1869" max="1869" width="59.7109375" style="166" bestFit="1" customWidth="1"/>
    <col min="1870" max="1871" width="13.85546875" style="166" bestFit="1" customWidth="1"/>
    <col min="1872" max="1872" width="11.42578125" style="166"/>
    <col min="1873" max="1875" width="12.42578125" style="166" bestFit="1" customWidth="1"/>
    <col min="1876" max="1876" width="11.42578125" style="166"/>
    <col min="1877" max="1878" width="12.42578125" style="166" bestFit="1" customWidth="1"/>
    <col min="1879" max="1879" width="18.7109375" style="166" bestFit="1" customWidth="1"/>
    <col min="1880" max="1880" width="12.85546875" style="166" bestFit="1" customWidth="1"/>
    <col min="1881" max="1881" width="13.5703125" style="166" bestFit="1" customWidth="1"/>
    <col min="1882" max="1882" width="10.42578125" style="166" bestFit="1" customWidth="1"/>
    <col min="1883" max="1883" width="9" style="166" bestFit="1" customWidth="1"/>
    <col min="1884" max="1884" width="11.140625" style="166" customWidth="1"/>
    <col min="1885" max="1886" width="9.85546875" style="166" customWidth="1"/>
    <col min="1887" max="1887" width="8.85546875" style="166" customWidth="1"/>
    <col min="1888" max="1889" width="9.85546875" style="166" customWidth="1"/>
    <col min="1890" max="1890" width="13.28515625" style="166" bestFit="1" customWidth="1"/>
    <col min="1891" max="1891" width="15.85546875" style="166" bestFit="1" customWidth="1"/>
    <col min="1892" max="1892" width="8" style="166" bestFit="1" customWidth="1"/>
    <col min="1893" max="1893" width="12.85546875" style="166" bestFit="1" customWidth="1"/>
    <col min="1894" max="2122" width="11.42578125" style="166"/>
    <col min="2123" max="2123" width="6.28515625" style="166" bestFit="1" customWidth="1"/>
    <col min="2124" max="2124" width="19.28515625" style="166" bestFit="1" customWidth="1"/>
    <col min="2125" max="2125" width="59.7109375" style="166" bestFit="1" customWidth="1"/>
    <col min="2126" max="2127" width="13.85546875" style="166" bestFit="1" customWidth="1"/>
    <col min="2128" max="2128" width="11.42578125" style="166"/>
    <col min="2129" max="2131" width="12.42578125" style="166" bestFit="1" customWidth="1"/>
    <col min="2132" max="2132" width="11.42578125" style="166"/>
    <col min="2133" max="2134" width="12.42578125" style="166" bestFit="1" customWidth="1"/>
    <col min="2135" max="2135" width="18.7109375" style="166" bestFit="1" customWidth="1"/>
    <col min="2136" max="2136" width="12.85546875" style="166" bestFit="1" customWidth="1"/>
    <col min="2137" max="2137" width="13.5703125" style="166" bestFit="1" customWidth="1"/>
    <col min="2138" max="2138" width="10.42578125" style="166" bestFit="1" customWidth="1"/>
    <col min="2139" max="2139" width="9" style="166" bestFit="1" customWidth="1"/>
    <col min="2140" max="2140" width="11.140625" style="166" customWidth="1"/>
    <col min="2141" max="2142" width="9.85546875" style="166" customWidth="1"/>
    <col min="2143" max="2143" width="8.85546875" style="166" customWidth="1"/>
    <col min="2144" max="2145" width="9.85546875" style="166" customWidth="1"/>
    <col min="2146" max="2146" width="13.28515625" style="166" bestFit="1" customWidth="1"/>
    <col min="2147" max="2147" width="15.85546875" style="166" bestFit="1" customWidth="1"/>
    <col min="2148" max="2148" width="8" style="166" bestFit="1" customWidth="1"/>
    <col min="2149" max="2149" width="12.85546875" style="166" bestFit="1" customWidth="1"/>
    <col min="2150" max="2378" width="11.42578125" style="166"/>
    <col min="2379" max="2379" width="6.28515625" style="166" bestFit="1" customWidth="1"/>
    <col min="2380" max="2380" width="19.28515625" style="166" bestFit="1" customWidth="1"/>
    <col min="2381" max="2381" width="59.7109375" style="166" bestFit="1" customWidth="1"/>
    <col min="2382" max="2383" width="13.85546875" style="166" bestFit="1" customWidth="1"/>
    <col min="2384" max="2384" width="11.42578125" style="166"/>
    <col min="2385" max="2387" width="12.42578125" style="166" bestFit="1" customWidth="1"/>
    <col min="2388" max="2388" width="11.42578125" style="166"/>
    <col min="2389" max="2390" width="12.42578125" style="166" bestFit="1" customWidth="1"/>
    <col min="2391" max="2391" width="18.7109375" style="166" bestFit="1" customWidth="1"/>
    <col min="2392" max="2392" width="12.85546875" style="166" bestFit="1" customWidth="1"/>
    <col min="2393" max="2393" width="13.5703125" style="166" bestFit="1" customWidth="1"/>
    <col min="2394" max="2394" width="10.42578125" style="166" bestFit="1" customWidth="1"/>
    <col min="2395" max="2395" width="9" style="166" bestFit="1" customWidth="1"/>
    <col min="2396" max="2396" width="11.140625" style="166" customWidth="1"/>
    <col min="2397" max="2398" width="9.85546875" style="166" customWidth="1"/>
    <col min="2399" max="2399" width="8.85546875" style="166" customWidth="1"/>
    <col min="2400" max="2401" width="9.85546875" style="166" customWidth="1"/>
    <col min="2402" max="2402" width="13.28515625" style="166" bestFit="1" customWidth="1"/>
    <col min="2403" max="2403" width="15.85546875" style="166" bestFit="1" customWidth="1"/>
    <col min="2404" max="2404" width="8" style="166" bestFit="1" customWidth="1"/>
    <col min="2405" max="2405" width="12.85546875" style="166" bestFit="1" customWidth="1"/>
    <col min="2406" max="2634" width="11.42578125" style="166"/>
    <col min="2635" max="2635" width="6.28515625" style="166" bestFit="1" customWidth="1"/>
    <col min="2636" max="2636" width="19.28515625" style="166" bestFit="1" customWidth="1"/>
    <col min="2637" max="2637" width="59.7109375" style="166" bestFit="1" customWidth="1"/>
    <col min="2638" max="2639" width="13.85546875" style="166" bestFit="1" customWidth="1"/>
    <col min="2640" max="2640" width="11.42578125" style="166"/>
    <col min="2641" max="2643" width="12.42578125" style="166" bestFit="1" customWidth="1"/>
    <col min="2644" max="2644" width="11.42578125" style="166"/>
    <col min="2645" max="2646" width="12.42578125" style="166" bestFit="1" customWidth="1"/>
    <col min="2647" max="2647" width="18.7109375" style="166" bestFit="1" customWidth="1"/>
    <col min="2648" max="2648" width="12.85546875" style="166" bestFit="1" customWidth="1"/>
    <col min="2649" max="2649" width="13.5703125" style="166" bestFit="1" customWidth="1"/>
    <col min="2650" max="2650" width="10.42578125" style="166" bestFit="1" customWidth="1"/>
    <col min="2651" max="2651" width="9" style="166" bestFit="1" customWidth="1"/>
    <col min="2652" max="2652" width="11.140625" style="166" customWidth="1"/>
    <col min="2653" max="2654" width="9.85546875" style="166" customWidth="1"/>
    <col min="2655" max="2655" width="8.85546875" style="166" customWidth="1"/>
    <col min="2656" max="2657" width="9.85546875" style="166" customWidth="1"/>
    <col min="2658" max="2658" width="13.28515625" style="166" bestFit="1" customWidth="1"/>
    <col min="2659" max="2659" width="15.85546875" style="166" bestFit="1" customWidth="1"/>
    <col min="2660" max="2660" width="8" style="166" bestFit="1" customWidth="1"/>
    <col min="2661" max="2661" width="12.85546875" style="166" bestFit="1" customWidth="1"/>
    <col min="2662" max="2890" width="11.42578125" style="166"/>
    <col min="2891" max="2891" width="6.28515625" style="166" bestFit="1" customWidth="1"/>
    <col min="2892" max="2892" width="19.28515625" style="166" bestFit="1" customWidth="1"/>
    <col min="2893" max="2893" width="59.7109375" style="166" bestFit="1" customWidth="1"/>
    <col min="2894" max="2895" width="13.85546875" style="166" bestFit="1" customWidth="1"/>
    <col min="2896" max="2896" width="11.42578125" style="166"/>
    <col min="2897" max="2899" width="12.42578125" style="166" bestFit="1" customWidth="1"/>
    <col min="2900" max="2900" width="11.42578125" style="166"/>
    <col min="2901" max="2902" width="12.42578125" style="166" bestFit="1" customWidth="1"/>
    <col min="2903" max="2903" width="18.7109375" style="166" bestFit="1" customWidth="1"/>
    <col min="2904" max="2904" width="12.85546875" style="166" bestFit="1" customWidth="1"/>
    <col min="2905" max="2905" width="13.5703125" style="166" bestFit="1" customWidth="1"/>
    <col min="2906" max="2906" width="10.42578125" style="166" bestFit="1" customWidth="1"/>
    <col min="2907" max="2907" width="9" style="166" bestFit="1" customWidth="1"/>
    <col min="2908" max="2908" width="11.140625" style="166" customWidth="1"/>
    <col min="2909" max="2910" width="9.85546875" style="166" customWidth="1"/>
    <col min="2911" max="2911" width="8.85546875" style="166" customWidth="1"/>
    <col min="2912" max="2913" width="9.85546875" style="166" customWidth="1"/>
    <col min="2914" max="2914" width="13.28515625" style="166" bestFit="1" customWidth="1"/>
    <col min="2915" max="2915" width="15.85546875" style="166" bestFit="1" customWidth="1"/>
    <col min="2916" max="2916" width="8" style="166" bestFit="1" customWidth="1"/>
    <col min="2917" max="2917" width="12.85546875" style="166" bestFit="1" customWidth="1"/>
    <col min="2918" max="3146" width="11.42578125" style="166"/>
    <col min="3147" max="3147" width="6.28515625" style="166" bestFit="1" customWidth="1"/>
    <col min="3148" max="3148" width="19.28515625" style="166" bestFit="1" customWidth="1"/>
    <col min="3149" max="3149" width="59.7109375" style="166" bestFit="1" customWidth="1"/>
    <col min="3150" max="3151" width="13.85546875" style="166" bestFit="1" customWidth="1"/>
    <col min="3152" max="3152" width="11.42578125" style="166"/>
    <col min="3153" max="3155" width="12.42578125" style="166" bestFit="1" customWidth="1"/>
    <col min="3156" max="3156" width="11.42578125" style="166"/>
    <col min="3157" max="3158" width="12.42578125" style="166" bestFit="1" customWidth="1"/>
    <col min="3159" max="3159" width="18.7109375" style="166" bestFit="1" customWidth="1"/>
    <col min="3160" max="3160" width="12.85546875" style="166" bestFit="1" customWidth="1"/>
    <col min="3161" max="3161" width="13.5703125" style="166" bestFit="1" customWidth="1"/>
    <col min="3162" max="3162" width="10.42578125" style="166" bestFit="1" customWidth="1"/>
    <col min="3163" max="3163" width="9" style="166" bestFit="1" customWidth="1"/>
    <col min="3164" max="3164" width="11.140625" style="166" customWidth="1"/>
    <col min="3165" max="3166" width="9.85546875" style="166" customWidth="1"/>
    <col min="3167" max="3167" width="8.85546875" style="166" customWidth="1"/>
    <col min="3168" max="3169" width="9.85546875" style="166" customWidth="1"/>
    <col min="3170" max="3170" width="13.28515625" style="166" bestFit="1" customWidth="1"/>
    <col min="3171" max="3171" width="15.85546875" style="166" bestFit="1" customWidth="1"/>
    <col min="3172" max="3172" width="8" style="166" bestFit="1" customWidth="1"/>
    <col min="3173" max="3173" width="12.85546875" style="166" bestFit="1" customWidth="1"/>
    <col min="3174" max="3402" width="11.42578125" style="166"/>
    <col min="3403" max="3403" width="6.28515625" style="166" bestFit="1" customWidth="1"/>
    <col min="3404" max="3404" width="19.28515625" style="166" bestFit="1" customWidth="1"/>
    <col min="3405" max="3405" width="59.7109375" style="166" bestFit="1" customWidth="1"/>
    <col min="3406" max="3407" width="13.85546875" style="166" bestFit="1" customWidth="1"/>
    <col min="3408" max="3408" width="11.42578125" style="166"/>
    <col min="3409" max="3411" width="12.42578125" style="166" bestFit="1" customWidth="1"/>
    <col min="3412" max="3412" width="11.42578125" style="166"/>
    <col min="3413" max="3414" width="12.42578125" style="166" bestFit="1" customWidth="1"/>
    <col min="3415" max="3415" width="18.7109375" style="166" bestFit="1" customWidth="1"/>
    <col min="3416" max="3416" width="12.85546875" style="166" bestFit="1" customWidth="1"/>
    <col min="3417" max="3417" width="13.5703125" style="166" bestFit="1" customWidth="1"/>
    <col min="3418" max="3418" width="10.42578125" style="166" bestFit="1" customWidth="1"/>
    <col min="3419" max="3419" width="9" style="166" bestFit="1" customWidth="1"/>
    <col min="3420" max="3420" width="11.140625" style="166" customWidth="1"/>
    <col min="3421" max="3422" width="9.85546875" style="166" customWidth="1"/>
    <col min="3423" max="3423" width="8.85546875" style="166" customWidth="1"/>
    <col min="3424" max="3425" width="9.85546875" style="166" customWidth="1"/>
    <col min="3426" max="3426" width="13.28515625" style="166" bestFit="1" customWidth="1"/>
    <col min="3427" max="3427" width="15.85546875" style="166" bestFit="1" customWidth="1"/>
    <col min="3428" max="3428" width="8" style="166" bestFit="1" customWidth="1"/>
    <col min="3429" max="3429" width="12.85546875" style="166" bestFit="1" customWidth="1"/>
    <col min="3430" max="3658" width="11.42578125" style="166"/>
    <col min="3659" max="3659" width="6.28515625" style="166" bestFit="1" customWidth="1"/>
    <col min="3660" max="3660" width="19.28515625" style="166" bestFit="1" customWidth="1"/>
    <col min="3661" max="3661" width="59.7109375" style="166" bestFit="1" customWidth="1"/>
    <col min="3662" max="3663" width="13.85546875" style="166" bestFit="1" customWidth="1"/>
    <col min="3664" max="3664" width="11.42578125" style="166"/>
    <col min="3665" max="3667" width="12.42578125" style="166" bestFit="1" customWidth="1"/>
    <col min="3668" max="3668" width="11.42578125" style="166"/>
    <col min="3669" max="3670" width="12.42578125" style="166" bestFit="1" customWidth="1"/>
    <col min="3671" max="3671" width="18.7109375" style="166" bestFit="1" customWidth="1"/>
    <col min="3672" max="3672" width="12.85546875" style="166" bestFit="1" customWidth="1"/>
    <col min="3673" max="3673" width="13.5703125" style="166" bestFit="1" customWidth="1"/>
    <col min="3674" max="3674" width="10.42578125" style="166" bestFit="1" customWidth="1"/>
    <col min="3675" max="3675" width="9" style="166" bestFit="1" customWidth="1"/>
    <col min="3676" max="3676" width="11.140625" style="166" customWidth="1"/>
    <col min="3677" max="3678" width="9.85546875" style="166" customWidth="1"/>
    <col min="3679" max="3679" width="8.85546875" style="166" customWidth="1"/>
    <col min="3680" max="3681" width="9.85546875" style="166" customWidth="1"/>
    <col min="3682" max="3682" width="13.28515625" style="166" bestFit="1" customWidth="1"/>
    <col min="3683" max="3683" width="15.85546875" style="166" bestFit="1" customWidth="1"/>
    <col min="3684" max="3684" width="8" style="166" bestFit="1" customWidth="1"/>
    <col min="3685" max="3685" width="12.85546875" style="166" bestFit="1" customWidth="1"/>
    <col min="3686" max="3914" width="11.42578125" style="166"/>
    <col min="3915" max="3915" width="6.28515625" style="166" bestFit="1" customWidth="1"/>
    <col min="3916" max="3916" width="19.28515625" style="166" bestFit="1" customWidth="1"/>
    <col min="3917" max="3917" width="59.7109375" style="166" bestFit="1" customWidth="1"/>
    <col min="3918" max="3919" width="13.85546875" style="166" bestFit="1" customWidth="1"/>
    <col min="3920" max="3920" width="11.42578125" style="166"/>
    <col min="3921" max="3923" width="12.42578125" style="166" bestFit="1" customWidth="1"/>
    <col min="3924" max="3924" width="11.42578125" style="166"/>
    <col min="3925" max="3926" width="12.42578125" style="166" bestFit="1" customWidth="1"/>
    <col min="3927" max="3927" width="18.7109375" style="166" bestFit="1" customWidth="1"/>
    <col min="3928" max="3928" width="12.85546875" style="166" bestFit="1" customWidth="1"/>
    <col min="3929" max="3929" width="13.5703125" style="166" bestFit="1" customWidth="1"/>
    <col min="3930" max="3930" width="10.42578125" style="166" bestFit="1" customWidth="1"/>
    <col min="3931" max="3931" width="9" style="166" bestFit="1" customWidth="1"/>
    <col min="3932" max="3932" width="11.140625" style="166" customWidth="1"/>
    <col min="3933" max="3934" width="9.85546875" style="166" customWidth="1"/>
    <col min="3935" max="3935" width="8.85546875" style="166" customWidth="1"/>
    <col min="3936" max="3937" width="9.85546875" style="166" customWidth="1"/>
    <col min="3938" max="3938" width="13.28515625" style="166" bestFit="1" customWidth="1"/>
    <col min="3939" max="3939" width="15.85546875" style="166" bestFit="1" customWidth="1"/>
    <col min="3940" max="3940" width="8" style="166" bestFit="1" customWidth="1"/>
    <col min="3941" max="3941" width="12.85546875" style="166" bestFit="1" customWidth="1"/>
    <col min="3942" max="4170" width="11.42578125" style="166"/>
    <col min="4171" max="4171" width="6.28515625" style="166" bestFit="1" customWidth="1"/>
    <col min="4172" max="4172" width="19.28515625" style="166" bestFit="1" customWidth="1"/>
    <col min="4173" max="4173" width="59.7109375" style="166" bestFit="1" customWidth="1"/>
    <col min="4174" max="4175" width="13.85546875" style="166" bestFit="1" customWidth="1"/>
    <col min="4176" max="4176" width="11.42578125" style="166"/>
    <col min="4177" max="4179" width="12.42578125" style="166" bestFit="1" customWidth="1"/>
    <col min="4180" max="4180" width="11.42578125" style="166"/>
    <col min="4181" max="4182" width="12.42578125" style="166" bestFit="1" customWidth="1"/>
    <col min="4183" max="4183" width="18.7109375" style="166" bestFit="1" customWidth="1"/>
    <col min="4184" max="4184" width="12.85546875" style="166" bestFit="1" customWidth="1"/>
    <col min="4185" max="4185" width="13.5703125" style="166" bestFit="1" customWidth="1"/>
    <col min="4186" max="4186" width="10.42578125" style="166" bestFit="1" customWidth="1"/>
    <col min="4187" max="4187" width="9" style="166" bestFit="1" customWidth="1"/>
    <col min="4188" max="4188" width="11.140625" style="166" customWidth="1"/>
    <col min="4189" max="4190" width="9.85546875" style="166" customWidth="1"/>
    <col min="4191" max="4191" width="8.85546875" style="166" customWidth="1"/>
    <col min="4192" max="4193" width="9.85546875" style="166" customWidth="1"/>
    <col min="4194" max="4194" width="13.28515625" style="166" bestFit="1" customWidth="1"/>
    <col min="4195" max="4195" width="15.85546875" style="166" bestFit="1" customWidth="1"/>
    <col min="4196" max="4196" width="8" style="166" bestFit="1" customWidth="1"/>
    <col min="4197" max="4197" width="12.85546875" style="166" bestFit="1" customWidth="1"/>
    <col min="4198" max="4426" width="11.42578125" style="166"/>
    <col min="4427" max="4427" width="6.28515625" style="166" bestFit="1" customWidth="1"/>
    <col min="4428" max="4428" width="19.28515625" style="166" bestFit="1" customWidth="1"/>
    <col min="4429" max="4429" width="59.7109375" style="166" bestFit="1" customWidth="1"/>
    <col min="4430" max="4431" width="13.85546875" style="166" bestFit="1" customWidth="1"/>
    <col min="4432" max="4432" width="11.42578125" style="166"/>
    <col min="4433" max="4435" width="12.42578125" style="166" bestFit="1" customWidth="1"/>
    <col min="4436" max="4436" width="11.42578125" style="166"/>
    <col min="4437" max="4438" width="12.42578125" style="166" bestFit="1" customWidth="1"/>
    <col min="4439" max="4439" width="18.7109375" style="166" bestFit="1" customWidth="1"/>
    <col min="4440" max="4440" width="12.85546875" style="166" bestFit="1" customWidth="1"/>
    <col min="4441" max="4441" width="13.5703125" style="166" bestFit="1" customWidth="1"/>
    <col min="4442" max="4442" width="10.42578125" style="166" bestFit="1" customWidth="1"/>
    <col min="4443" max="4443" width="9" style="166" bestFit="1" customWidth="1"/>
    <col min="4444" max="4444" width="11.140625" style="166" customWidth="1"/>
    <col min="4445" max="4446" width="9.85546875" style="166" customWidth="1"/>
    <col min="4447" max="4447" width="8.85546875" style="166" customWidth="1"/>
    <col min="4448" max="4449" width="9.85546875" style="166" customWidth="1"/>
    <col min="4450" max="4450" width="13.28515625" style="166" bestFit="1" customWidth="1"/>
    <col min="4451" max="4451" width="15.85546875" style="166" bestFit="1" customWidth="1"/>
    <col min="4452" max="4452" width="8" style="166" bestFit="1" customWidth="1"/>
    <col min="4453" max="4453" width="12.85546875" style="166" bestFit="1" customWidth="1"/>
    <col min="4454" max="4682" width="11.42578125" style="166"/>
    <col min="4683" max="4683" width="6.28515625" style="166" bestFit="1" customWidth="1"/>
    <col min="4684" max="4684" width="19.28515625" style="166" bestFit="1" customWidth="1"/>
    <col min="4685" max="4685" width="59.7109375" style="166" bestFit="1" customWidth="1"/>
    <col min="4686" max="4687" width="13.85546875" style="166" bestFit="1" customWidth="1"/>
    <col min="4688" max="4688" width="11.42578125" style="166"/>
    <col min="4689" max="4691" width="12.42578125" style="166" bestFit="1" customWidth="1"/>
    <col min="4692" max="4692" width="11.42578125" style="166"/>
    <col min="4693" max="4694" width="12.42578125" style="166" bestFit="1" customWidth="1"/>
    <col min="4695" max="4695" width="18.7109375" style="166" bestFit="1" customWidth="1"/>
    <col min="4696" max="4696" width="12.85546875" style="166" bestFit="1" customWidth="1"/>
    <col min="4697" max="4697" width="13.5703125" style="166" bestFit="1" customWidth="1"/>
    <col min="4698" max="4698" width="10.42578125" style="166" bestFit="1" customWidth="1"/>
    <col min="4699" max="4699" width="9" style="166" bestFit="1" customWidth="1"/>
    <col min="4700" max="4700" width="11.140625" style="166" customWidth="1"/>
    <col min="4701" max="4702" width="9.85546875" style="166" customWidth="1"/>
    <col min="4703" max="4703" width="8.85546875" style="166" customWidth="1"/>
    <col min="4704" max="4705" width="9.85546875" style="166" customWidth="1"/>
    <col min="4706" max="4706" width="13.28515625" style="166" bestFit="1" customWidth="1"/>
    <col min="4707" max="4707" width="15.85546875" style="166" bestFit="1" customWidth="1"/>
    <col min="4708" max="4708" width="8" style="166" bestFit="1" customWidth="1"/>
    <col min="4709" max="4709" width="12.85546875" style="166" bestFit="1" customWidth="1"/>
    <col min="4710" max="4938" width="11.42578125" style="166"/>
    <col min="4939" max="4939" width="6.28515625" style="166" bestFit="1" customWidth="1"/>
    <col min="4940" max="4940" width="19.28515625" style="166" bestFit="1" customWidth="1"/>
    <col min="4941" max="4941" width="59.7109375" style="166" bestFit="1" customWidth="1"/>
    <col min="4942" max="4943" width="13.85546875" style="166" bestFit="1" customWidth="1"/>
    <col min="4944" max="4944" width="11.42578125" style="166"/>
    <col min="4945" max="4947" width="12.42578125" style="166" bestFit="1" customWidth="1"/>
    <col min="4948" max="4948" width="11.42578125" style="166"/>
    <col min="4949" max="4950" width="12.42578125" style="166" bestFit="1" customWidth="1"/>
    <col min="4951" max="4951" width="18.7109375" style="166" bestFit="1" customWidth="1"/>
    <col min="4952" max="4952" width="12.85546875" style="166" bestFit="1" customWidth="1"/>
    <col min="4953" max="4953" width="13.5703125" style="166" bestFit="1" customWidth="1"/>
    <col min="4954" max="4954" width="10.42578125" style="166" bestFit="1" customWidth="1"/>
    <col min="4955" max="4955" width="9" style="166" bestFit="1" customWidth="1"/>
    <col min="4956" max="4956" width="11.140625" style="166" customWidth="1"/>
    <col min="4957" max="4958" width="9.85546875" style="166" customWidth="1"/>
    <col min="4959" max="4959" width="8.85546875" style="166" customWidth="1"/>
    <col min="4960" max="4961" width="9.85546875" style="166" customWidth="1"/>
    <col min="4962" max="4962" width="13.28515625" style="166" bestFit="1" customWidth="1"/>
    <col min="4963" max="4963" width="15.85546875" style="166" bestFit="1" customWidth="1"/>
    <col min="4964" max="4964" width="8" style="166" bestFit="1" customWidth="1"/>
    <col min="4965" max="4965" width="12.85546875" style="166" bestFit="1" customWidth="1"/>
    <col min="4966" max="5194" width="11.42578125" style="166"/>
    <col min="5195" max="5195" width="6.28515625" style="166" bestFit="1" customWidth="1"/>
    <col min="5196" max="5196" width="19.28515625" style="166" bestFit="1" customWidth="1"/>
    <col min="5197" max="5197" width="59.7109375" style="166" bestFit="1" customWidth="1"/>
    <col min="5198" max="5199" width="13.85546875" style="166" bestFit="1" customWidth="1"/>
    <col min="5200" max="5200" width="11.42578125" style="166"/>
    <col min="5201" max="5203" width="12.42578125" style="166" bestFit="1" customWidth="1"/>
    <col min="5204" max="5204" width="11.42578125" style="166"/>
    <col min="5205" max="5206" width="12.42578125" style="166" bestFit="1" customWidth="1"/>
    <col min="5207" max="5207" width="18.7109375" style="166" bestFit="1" customWidth="1"/>
    <col min="5208" max="5208" width="12.85546875" style="166" bestFit="1" customWidth="1"/>
    <col min="5209" max="5209" width="13.5703125" style="166" bestFit="1" customWidth="1"/>
    <col min="5210" max="5210" width="10.42578125" style="166" bestFit="1" customWidth="1"/>
    <col min="5211" max="5211" width="9" style="166" bestFit="1" customWidth="1"/>
    <col min="5212" max="5212" width="11.140625" style="166" customWidth="1"/>
    <col min="5213" max="5214" width="9.85546875" style="166" customWidth="1"/>
    <col min="5215" max="5215" width="8.85546875" style="166" customWidth="1"/>
    <col min="5216" max="5217" width="9.85546875" style="166" customWidth="1"/>
    <col min="5218" max="5218" width="13.28515625" style="166" bestFit="1" customWidth="1"/>
    <col min="5219" max="5219" width="15.85546875" style="166" bestFit="1" customWidth="1"/>
    <col min="5220" max="5220" width="8" style="166" bestFit="1" customWidth="1"/>
    <col min="5221" max="5221" width="12.85546875" style="166" bestFit="1" customWidth="1"/>
    <col min="5222" max="5450" width="11.42578125" style="166"/>
    <col min="5451" max="5451" width="6.28515625" style="166" bestFit="1" customWidth="1"/>
    <col min="5452" max="5452" width="19.28515625" style="166" bestFit="1" customWidth="1"/>
    <col min="5453" max="5453" width="59.7109375" style="166" bestFit="1" customWidth="1"/>
    <col min="5454" max="5455" width="13.85546875" style="166" bestFit="1" customWidth="1"/>
    <col min="5456" max="5456" width="11.42578125" style="166"/>
    <col min="5457" max="5459" width="12.42578125" style="166" bestFit="1" customWidth="1"/>
    <col min="5460" max="5460" width="11.42578125" style="166"/>
    <col min="5461" max="5462" width="12.42578125" style="166" bestFit="1" customWidth="1"/>
    <col min="5463" max="5463" width="18.7109375" style="166" bestFit="1" customWidth="1"/>
    <col min="5464" max="5464" width="12.85546875" style="166" bestFit="1" customWidth="1"/>
    <col min="5465" max="5465" width="13.5703125" style="166" bestFit="1" customWidth="1"/>
    <col min="5466" max="5466" width="10.42578125" style="166" bestFit="1" customWidth="1"/>
    <col min="5467" max="5467" width="9" style="166" bestFit="1" customWidth="1"/>
    <col min="5468" max="5468" width="11.140625" style="166" customWidth="1"/>
    <col min="5469" max="5470" width="9.85546875" style="166" customWidth="1"/>
    <col min="5471" max="5471" width="8.85546875" style="166" customWidth="1"/>
    <col min="5472" max="5473" width="9.85546875" style="166" customWidth="1"/>
    <col min="5474" max="5474" width="13.28515625" style="166" bestFit="1" customWidth="1"/>
    <col min="5475" max="5475" width="15.85546875" style="166" bestFit="1" customWidth="1"/>
    <col min="5476" max="5476" width="8" style="166" bestFit="1" customWidth="1"/>
    <col min="5477" max="5477" width="12.85546875" style="166" bestFit="1" customWidth="1"/>
    <col min="5478" max="5706" width="11.42578125" style="166"/>
    <col min="5707" max="5707" width="6.28515625" style="166" bestFit="1" customWidth="1"/>
    <col min="5708" max="5708" width="19.28515625" style="166" bestFit="1" customWidth="1"/>
    <col min="5709" max="5709" width="59.7109375" style="166" bestFit="1" customWidth="1"/>
    <col min="5710" max="5711" width="13.85546875" style="166" bestFit="1" customWidth="1"/>
    <col min="5712" max="5712" width="11.42578125" style="166"/>
    <col min="5713" max="5715" width="12.42578125" style="166" bestFit="1" customWidth="1"/>
    <col min="5716" max="5716" width="11.42578125" style="166"/>
    <col min="5717" max="5718" width="12.42578125" style="166" bestFit="1" customWidth="1"/>
    <col min="5719" max="5719" width="18.7109375" style="166" bestFit="1" customWidth="1"/>
    <col min="5720" max="5720" width="12.85546875" style="166" bestFit="1" customWidth="1"/>
    <col min="5721" max="5721" width="13.5703125" style="166" bestFit="1" customWidth="1"/>
    <col min="5722" max="5722" width="10.42578125" style="166" bestFit="1" customWidth="1"/>
    <col min="5723" max="5723" width="9" style="166" bestFit="1" customWidth="1"/>
    <col min="5724" max="5724" width="11.140625" style="166" customWidth="1"/>
    <col min="5725" max="5726" width="9.85546875" style="166" customWidth="1"/>
    <col min="5727" max="5727" width="8.85546875" style="166" customWidth="1"/>
    <col min="5728" max="5729" width="9.85546875" style="166" customWidth="1"/>
    <col min="5730" max="5730" width="13.28515625" style="166" bestFit="1" customWidth="1"/>
    <col min="5731" max="5731" width="15.85546875" style="166" bestFit="1" customWidth="1"/>
    <col min="5732" max="5732" width="8" style="166" bestFit="1" customWidth="1"/>
    <col min="5733" max="5733" width="12.85546875" style="166" bestFit="1" customWidth="1"/>
    <col min="5734" max="5962" width="11.42578125" style="166"/>
    <col min="5963" max="5963" width="6.28515625" style="166" bestFit="1" customWidth="1"/>
    <col min="5964" max="5964" width="19.28515625" style="166" bestFit="1" customWidth="1"/>
    <col min="5965" max="5965" width="59.7109375" style="166" bestFit="1" customWidth="1"/>
    <col min="5966" max="5967" width="13.85546875" style="166" bestFit="1" customWidth="1"/>
    <col min="5968" max="5968" width="11.42578125" style="166"/>
    <col min="5969" max="5971" width="12.42578125" style="166" bestFit="1" customWidth="1"/>
    <col min="5972" max="5972" width="11.42578125" style="166"/>
    <col min="5973" max="5974" width="12.42578125" style="166" bestFit="1" customWidth="1"/>
    <col min="5975" max="5975" width="18.7109375" style="166" bestFit="1" customWidth="1"/>
    <col min="5976" max="5976" width="12.85546875" style="166" bestFit="1" customWidth="1"/>
    <col min="5977" max="5977" width="13.5703125" style="166" bestFit="1" customWidth="1"/>
    <col min="5978" max="5978" width="10.42578125" style="166" bestFit="1" customWidth="1"/>
    <col min="5979" max="5979" width="9" style="166" bestFit="1" customWidth="1"/>
    <col min="5980" max="5980" width="11.140625" style="166" customWidth="1"/>
    <col min="5981" max="5982" width="9.85546875" style="166" customWidth="1"/>
    <col min="5983" max="5983" width="8.85546875" style="166" customWidth="1"/>
    <col min="5984" max="5985" width="9.85546875" style="166" customWidth="1"/>
    <col min="5986" max="5986" width="13.28515625" style="166" bestFit="1" customWidth="1"/>
    <col min="5987" max="5987" width="15.85546875" style="166" bestFit="1" customWidth="1"/>
    <col min="5988" max="5988" width="8" style="166" bestFit="1" customWidth="1"/>
    <col min="5989" max="5989" width="12.85546875" style="166" bestFit="1" customWidth="1"/>
    <col min="5990" max="6218" width="11.42578125" style="166"/>
    <col min="6219" max="6219" width="6.28515625" style="166" bestFit="1" customWidth="1"/>
    <col min="6220" max="6220" width="19.28515625" style="166" bestFit="1" customWidth="1"/>
    <col min="6221" max="6221" width="59.7109375" style="166" bestFit="1" customWidth="1"/>
    <col min="6222" max="6223" width="13.85546875" style="166" bestFit="1" customWidth="1"/>
    <col min="6224" max="6224" width="11.42578125" style="166"/>
    <col min="6225" max="6227" width="12.42578125" style="166" bestFit="1" customWidth="1"/>
    <col min="6228" max="6228" width="11.42578125" style="166"/>
    <col min="6229" max="6230" width="12.42578125" style="166" bestFit="1" customWidth="1"/>
    <col min="6231" max="6231" width="18.7109375" style="166" bestFit="1" customWidth="1"/>
    <col min="6232" max="6232" width="12.85546875" style="166" bestFit="1" customWidth="1"/>
    <col min="6233" max="6233" width="13.5703125" style="166" bestFit="1" customWidth="1"/>
    <col min="6234" max="6234" width="10.42578125" style="166" bestFit="1" customWidth="1"/>
    <col min="6235" max="6235" width="9" style="166" bestFit="1" customWidth="1"/>
    <col min="6236" max="6236" width="11.140625" style="166" customWidth="1"/>
    <col min="6237" max="6238" width="9.85546875" style="166" customWidth="1"/>
    <col min="6239" max="6239" width="8.85546875" style="166" customWidth="1"/>
    <col min="6240" max="6241" width="9.85546875" style="166" customWidth="1"/>
    <col min="6242" max="6242" width="13.28515625" style="166" bestFit="1" customWidth="1"/>
    <col min="6243" max="6243" width="15.85546875" style="166" bestFit="1" customWidth="1"/>
    <col min="6244" max="6244" width="8" style="166" bestFit="1" customWidth="1"/>
    <col min="6245" max="6245" width="12.85546875" style="166" bestFit="1" customWidth="1"/>
    <col min="6246" max="6474" width="11.42578125" style="166"/>
    <col min="6475" max="6475" width="6.28515625" style="166" bestFit="1" customWidth="1"/>
    <col min="6476" max="6476" width="19.28515625" style="166" bestFit="1" customWidth="1"/>
    <col min="6477" max="6477" width="59.7109375" style="166" bestFit="1" customWidth="1"/>
    <col min="6478" max="6479" width="13.85546875" style="166" bestFit="1" customWidth="1"/>
    <col min="6480" max="6480" width="11.42578125" style="166"/>
    <col min="6481" max="6483" width="12.42578125" style="166" bestFit="1" customWidth="1"/>
    <col min="6484" max="6484" width="11.42578125" style="166"/>
    <col min="6485" max="6486" width="12.42578125" style="166" bestFit="1" customWidth="1"/>
    <col min="6487" max="6487" width="18.7109375" style="166" bestFit="1" customWidth="1"/>
    <col min="6488" max="6488" width="12.85546875" style="166" bestFit="1" customWidth="1"/>
    <col min="6489" max="6489" width="13.5703125" style="166" bestFit="1" customWidth="1"/>
    <col min="6490" max="6490" width="10.42578125" style="166" bestFit="1" customWidth="1"/>
    <col min="6491" max="6491" width="9" style="166" bestFit="1" customWidth="1"/>
    <col min="6492" max="6492" width="11.140625" style="166" customWidth="1"/>
    <col min="6493" max="6494" width="9.85546875" style="166" customWidth="1"/>
    <col min="6495" max="6495" width="8.85546875" style="166" customWidth="1"/>
    <col min="6496" max="6497" width="9.85546875" style="166" customWidth="1"/>
    <col min="6498" max="6498" width="13.28515625" style="166" bestFit="1" customWidth="1"/>
    <col min="6499" max="6499" width="15.85546875" style="166" bestFit="1" customWidth="1"/>
    <col min="6500" max="6500" width="8" style="166" bestFit="1" customWidth="1"/>
    <col min="6501" max="6501" width="12.85546875" style="166" bestFit="1" customWidth="1"/>
    <col min="6502" max="6730" width="11.42578125" style="166"/>
    <col min="6731" max="6731" width="6.28515625" style="166" bestFit="1" customWidth="1"/>
    <col min="6732" max="6732" width="19.28515625" style="166" bestFit="1" customWidth="1"/>
    <col min="6733" max="6733" width="59.7109375" style="166" bestFit="1" customWidth="1"/>
    <col min="6734" max="6735" width="13.85546875" style="166" bestFit="1" customWidth="1"/>
    <col min="6736" max="6736" width="11.42578125" style="166"/>
    <col min="6737" max="6739" width="12.42578125" style="166" bestFit="1" customWidth="1"/>
    <col min="6740" max="6740" width="11.42578125" style="166"/>
    <col min="6741" max="6742" width="12.42578125" style="166" bestFit="1" customWidth="1"/>
    <col min="6743" max="6743" width="18.7109375" style="166" bestFit="1" customWidth="1"/>
    <col min="6744" max="6744" width="12.85546875" style="166" bestFit="1" customWidth="1"/>
    <col min="6745" max="6745" width="13.5703125" style="166" bestFit="1" customWidth="1"/>
    <col min="6746" max="6746" width="10.42578125" style="166" bestFit="1" customWidth="1"/>
    <col min="6747" max="6747" width="9" style="166" bestFit="1" customWidth="1"/>
    <col min="6748" max="6748" width="11.140625" style="166" customWidth="1"/>
    <col min="6749" max="6750" width="9.85546875" style="166" customWidth="1"/>
    <col min="6751" max="6751" width="8.85546875" style="166" customWidth="1"/>
    <col min="6752" max="6753" width="9.85546875" style="166" customWidth="1"/>
    <col min="6754" max="6754" width="13.28515625" style="166" bestFit="1" customWidth="1"/>
    <col min="6755" max="6755" width="15.85546875" style="166" bestFit="1" customWidth="1"/>
    <col min="6756" max="6756" width="8" style="166" bestFit="1" customWidth="1"/>
    <col min="6757" max="6757" width="12.85546875" style="166" bestFit="1" customWidth="1"/>
    <col min="6758" max="6986" width="11.42578125" style="166"/>
    <col min="6987" max="6987" width="6.28515625" style="166" bestFit="1" customWidth="1"/>
    <col min="6988" max="6988" width="19.28515625" style="166" bestFit="1" customWidth="1"/>
    <col min="6989" max="6989" width="59.7109375" style="166" bestFit="1" customWidth="1"/>
    <col min="6990" max="6991" width="13.85546875" style="166" bestFit="1" customWidth="1"/>
    <col min="6992" max="6992" width="11.42578125" style="166"/>
    <col min="6993" max="6995" width="12.42578125" style="166" bestFit="1" customWidth="1"/>
    <col min="6996" max="6996" width="11.42578125" style="166"/>
    <col min="6997" max="6998" width="12.42578125" style="166" bestFit="1" customWidth="1"/>
    <col min="6999" max="6999" width="18.7109375" style="166" bestFit="1" customWidth="1"/>
    <col min="7000" max="7000" width="12.85546875" style="166" bestFit="1" customWidth="1"/>
    <col min="7001" max="7001" width="13.5703125" style="166" bestFit="1" customWidth="1"/>
    <col min="7002" max="7002" width="10.42578125" style="166" bestFit="1" customWidth="1"/>
    <col min="7003" max="7003" width="9" style="166" bestFit="1" customWidth="1"/>
    <col min="7004" max="7004" width="11.140625" style="166" customWidth="1"/>
    <col min="7005" max="7006" width="9.85546875" style="166" customWidth="1"/>
    <col min="7007" max="7007" width="8.85546875" style="166" customWidth="1"/>
    <col min="7008" max="7009" width="9.85546875" style="166" customWidth="1"/>
    <col min="7010" max="7010" width="13.28515625" style="166" bestFit="1" customWidth="1"/>
    <col min="7011" max="7011" width="15.85546875" style="166" bestFit="1" customWidth="1"/>
    <col min="7012" max="7012" width="8" style="166" bestFit="1" customWidth="1"/>
    <col min="7013" max="7013" width="12.85546875" style="166" bestFit="1" customWidth="1"/>
    <col min="7014" max="7242" width="11.42578125" style="166"/>
    <col min="7243" max="7243" width="6.28515625" style="166" bestFit="1" customWidth="1"/>
    <col min="7244" max="7244" width="19.28515625" style="166" bestFit="1" customWidth="1"/>
    <col min="7245" max="7245" width="59.7109375" style="166" bestFit="1" customWidth="1"/>
    <col min="7246" max="7247" width="13.85546875" style="166" bestFit="1" customWidth="1"/>
    <col min="7248" max="7248" width="11.42578125" style="166"/>
    <col min="7249" max="7251" width="12.42578125" style="166" bestFit="1" customWidth="1"/>
    <col min="7252" max="7252" width="11.42578125" style="166"/>
    <col min="7253" max="7254" width="12.42578125" style="166" bestFit="1" customWidth="1"/>
    <col min="7255" max="7255" width="18.7109375" style="166" bestFit="1" customWidth="1"/>
    <col min="7256" max="7256" width="12.85546875" style="166" bestFit="1" customWidth="1"/>
    <col min="7257" max="7257" width="13.5703125" style="166" bestFit="1" customWidth="1"/>
    <col min="7258" max="7258" width="10.42578125" style="166" bestFit="1" customWidth="1"/>
    <col min="7259" max="7259" width="9" style="166" bestFit="1" customWidth="1"/>
    <col min="7260" max="7260" width="11.140625" style="166" customWidth="1"/>
    <col min="7261" max="7262" width="9.85546875" style="166" customWidth="1"/>
    <col min="7263" max="7263" width="8.85546875" style="166" customWidth="1"/>
    <col min="7264" max="7265" width="9.85546875" style="166" customWidth="1"/>
    <col min="7266" max="7266" width="13.28515625" style="166" bestFit="1" customWidth="1"/>
    <col min="7267" max="7267" width="15.85546875" style="166" bestFit="1" customWidth="1"/>
    <col min="7268" max="7268" width="8" style="166" bestFit="1" customWidth="1"/>
    <col min="7269" max="7269" width="12.85546875" style="166" bestFit="1" customWidth="1"/>
    <col min="7270" max="7498" width="11.42578125" style="166"/>
    <col min="7499" max="7499" width="6.28515625" style="166" bestFit="1" customWidth="1"/>
    <col min="7500" max="7500" width="19.28515625" style="166" bestFit="1" customWidth="1"/>
    <col min="7501" max="7501" width="59.7109375" style="166" bestFit="1" customWidth="1"/>
    <col min="7502" max="7503" width="13.85546875" style="166" bestFit="1" customWidth="1"/>
    <col min="7504" max="7504" width="11.42578125" style="166"/>
    <col min="7505" max="7507" width="12.42578125" style="166" bestFit="1" customWidth="1"/>
    <col min="7508" max="7508" width="11.42578125" style="166"/>
    <col min="7509" max="7510" width="12.42578125" style="166" bestFit="1" customWidth="1"/>
    <col min="7511" max="7511" width="18.7109375" style="166" bestFit="1" customWidth="1"/>
    <col min="7512" max="7512" width="12.85546875" style="166" bestFit="1" customWidth="1"/>
    <col min="7513" max="7513" width="13.5703125" style="166" bestFit="1" customWidth="1"/>
    <col min="7514" max="7514" width="10.42578125" style="166" bestFit="1" customWidth="1"/>
    <col min="7515" max="7515" width="9" style="166" bestFit="1" customWidth="1"/>
    <col min="7516" max="7516" width="11.140625" style="166" customWidth="1"/>
    <col min="7517" max="7518" width="9.85546875" style="166" customWidth="1"/>
    <col min="7519" max="7519" width="8.85546875" style="166" customWidth="1"/>
    <col min="7520" max="7521" width="9.85546875" style="166" customWidth="1"/>
    <col min="7522" max="7522" width="13.28515625" style="166" bestFit="1" customWidth="1"/>
    <col min="7523" max="7523" width="15.85546875" style="166" bestFit="1" customWidth="1"/>
    <col min="7524" max="7524" width="8" style="166" bestFit="1" customWidth="1"/>
    <col min="7525" max="7525" width="12.85546875" style="166" bestFit="1" customWidth="1"/>
    <col min="7526" max="7754" width="11.42578125" style="166"/>
    <col min="7755" max="7755" width="6.28515625" style="166" bestFit="1" customWidth="1"/>
    <col min="7756" max="7756" width="19.28515625" style="166" bestFit="1" customWidth="1"/>
    <col min="7757" max="7757" width="59.7109375" style="166" bestFit="1" customWidth="1"/>
    <col min="7758" max="7759" width="13.85546875" style="166" bestFit="1" customWidth="1"/>
    <col min="7760" max="7760" width="11.42578125" style="166"/>
    <col min="7761" max="7763" width="12.42578125" style="166" bestFit="1" customWidth="1"/>
    <col min="7764" max="7764" width="11.42578125" style="166"/>
    <col min="7765" max="7766" width="12.42578125" style="166" bestFit="1" customWidth="1"/>
    <col min="7767" max="7767" width="18.7109375" style="166" bestFit="1" customWidth="1"/>
    <col min="7768" max="7768" width="12.85546875" style="166" bestFit="1" customWidth="1"/>
    <col min="7769" max="7769" width="13.5703125" style="166" bestFit="1" customWidth="1"/>
    <col min="7770" max="7770" width="10.42578125" style="166" bestFit="1" customWidth="1"/>
    <col min="7771" max="7771" width="9" style="166" bestFit="1" customWidth="1"/>
    <col min="7772" max="7772" width="11.140625" style="166" customWidth="1"/>
    <col min="7773" max="7774" width="9.85546875" style="166" customWidth="1"/>
    <col min="7775" max="7775" width="8.85546875" style="166" customWidth="1"/>
    <col min="7776" max="7777" width="9.85546875" style="166" customWidth="1"/>
    <col min="7778" max="7778" width="13.28515625" style="166" bestFit="1" customWidth="1"/>
    <col min="7779" max="7779" width="15.85546875" style="166" bestFit="1" customWidth="1"/>
    <col min="7780" max="7780" width="8" style="166" bestFit="1" customWidth="1"/>
    <col min="7781" max="7781" width="12.85546875" style="166" bestFit="1" customWidth="1"/>
    <col min="7782" max="8010" width="11.42578125" style="166"/>
    <col min="8011" max="8011" width="6.28515625" style="166" bestFit="1" customWidth="1"/>
    <col min="8012" max="8012" width="19.28515625" style="166" bestFit="1" customWidth="1"/>
    <col min="8013" max="8013" width="59.7109375" style="166" bestFit="1" customWidth="1"/>
    <col min="8014" max="8015" width="13.85546875" style="166" bestFit="1" customWidth="1"/>
    <col min="8016" max="8016" width="11.42578125" style="166"/>
    <col min="8017" max="8019" width="12.42578125" style="166" bestFit="1" customWidth="1"/>
    <col min="8020" max="8020" width="11.42578125" style="166"/>
    <col min="8021" max="8022" width="12.42578125" style="166" bestFit="1" customWidth="1"/>
    <col min="8023" max="8023" width="18.7109375" style="166" bestFit="1" customWidth="1"/>
    <col min="8024" max="8024" width="12.85546875" style="166" bestFit="1" customWidth="1"/>
    <col min="8025" max="8025" width="13.5703125" style="166" bestFit="1" customWidth="1"/>
    <col min="8026" max="8026" width="10.42578125" style="166" bestFit="1" customWidth="1"/>
    <col min="8027" max="8027" width="9" style="166" bestFit="1" customWidth="1"/>
    <col min="8028" max="8028" width="11.140625" style="166" customWidth="1"/>
    <col min="8029" max="8030" width="9.85546875" style="166" customWidth="1"/>
    <col min="8031" max="8031" width="8.85546875" style="166" customWidth="1"/>
    <col min="8032" max="8033" width="9.85546875" style="166" customWidth="1"/>
    <col min="8034" max="8034" width="13.28515625" style="166" bestFit="1" customWidth="1"/>
    <col min="8035" max="8035" width="15.85546875" style="166" bestFit="1" customWidth="1"/>
    <col min="8036" max="8036" width="8" style="166" bestFit="1" customWidth="1"/>
    <col min="8037" max="8037" width="12.85546875" style="166" bestFit="1" customWidth="1"/>
    <col min="8038" max="8266" width="11.42578125" style="166"/>
    <col min="8267" max="8267" width="6.28515625" style="166" bestFit="1" customWidth="1"/>
    <col min="8268" max="8268" width="19.28515625" style="166" bestFit="1" customWidth="1"/>
    <col min="8269" max="8269" width="59.7109375" style="166" bestFit="1" customWidth="1"/>
    <col min="8270" max="8271" width="13.85546875" style="166" bestFit="1" customWidth="1"/>
    <col min="8272" max="8272" width="11.42578125" style="166"/>
    <col min="8273" max="8275" width="12.42578125" style="166" bestFit="1" customWidth="1"/>
    <col min="8276" max="8276" width="11.42578125" style="166"/>
    <col min="8277" max="8278" width="12.42578125" style="166" bestFit="1" customWidth="1"/>
    <col min="8279" max="8279" width="18.7109375" style="166" bestFit="1" customWidth="1"/>
    <col min="8280" max="8280" width="12.85546875" style="166" bestFit="1" customWidth="1"/>
    <col min="8281" max="8281" width="13.5703125" style="166" bestFit="1" customWidth="1"/>
    <col min="8282" max="8282" width="10.42578125" style="166" bestFit="1" customWidth="1"/>
    <col min="8283" max="8283" width="9" style="166" bestFit="1" customWidth="1"/>
    <col min="8284" max="8284" width="11.140625" style="166" customWidth="1"/>
    <col min="8285" max="8286" width="9.85546875" style="166" customWidth="1"/>
    <col min="8287" max="8287" width="8.85546875" style="166" customWidth="1"/>
    <col min="8288" max="8289" width="9.85546875" style="166" customWidth="1"/>
    <col min="8290" max="8290" width="13.28515625" style="166" bestFit="1" customWidth="1"/>
    <col min="8291" max="8291" width="15.85546875" style="166" bestFit="1" customWidth="1"/>
    <col min="8292" max="8292" width="8" style="166" bestFit="1" customWidth="1"/>
    <col min="8293" max="8293" width="12.85546875" style="166" bestFit="1" customWidth="1"/>
    <col min="8294" max="8522" width="11.42578125" style="166"/>
    <col min="8523" max="8523" width="6.28515625" style="166" bestFit="1" customWidth="1"/>
    <col min="8524" max="8524" width="19.28515625" style="166" bestFit="1" customWidth="1"/>
    <col min="8525" max="8525" width="59.7109375" style="166" bestFit="1" customWidth="1"/>
    <col min="8526" max="8527" width="13.85546875" style="166" bestFit="1" customWidth="1"/>
    <col min="8528" max="8528" width="11.42578125" style="166"/>
    <col min="8529" max="8531" width="12.42578125" style="166" bestFit="1" customWidth="1"/>
    <col min="8532" max="8532" width="11.42578125" style="166"/>
    <col min="8533" max="8534" width="12.42578125" style="166" bestFit="1" customWidth="1"/>
    <col min="8535" max="8535" width="18.7109375" style="166" bestFit="1" customWidth="1"/>
    <col min="8536" max="8536" width="12.85546875" style="166" bestFit="1" customWidth="1"/>
    <col min="8537" max="8537" width="13.5703125" style="166" bestFit="1" customWidth="1"/>
    <col min="8538" max="8538" width="10.42578125" style="166" bestFit="1" customWidth="1"/>
    <col min="8539" max="8539" width="9" style="166" bestFit="1" customWidth="1"/>
    <col min="8540" max="8540" width="11.140625" style="166" customWidth="1"/>
    <col min="8541" max="8542" width="9.85546875" style="166" customWidth="1"/>
    <col min="8543" max="8543" width="8.85546875" style="166" customWidth="1"/>
    <col min="8544" max="8545" width="9.85546875" style="166" customWidth="1"/>
    <col min="8546" max="8546" width="13.28515625" style="166" bestFit="1" customWidth="1"/>
    <col min="8547" max="8547" width="15.85546875" style="166" bestFit="1" customWidth="1"/>
    <col min="8548" max="8548" width="8" style="166" bestFit="1" customWidth="1"/>
    <col min="8549" max="8549" width="12.85546875" style="166" bestFit="1" customWidth="1"/>
    <col min="8550" max="8778" width="11.42578125" style="166"/>
    <col min="8779" max="8779" width="6.28515625" style="166" bestFit="1" customWidth="1"/>
    <col min="8780" max="8780" width="19.28515625" style="166" bestFit="1" customWidth="1"/>
    <col min="8781" max="8781" width="59.7109375" style="166" bestFit="1" customWidth="1"/>
    <col min="8782" max="8783" width="13.85546875" style="166" bestFit="1" customWidth="1"/>
    <col min="8784" max="8784" width="11.42578125" style="166"/>
    <col min="8785" max="8787" width="12.42578125" style="166" bestFit="1" customWidth="1"/>
    <col min="8788" max="8788" width="11.42578125" style="166"/>
    <col min="8789" max="8790" width="12.42578125" style="166" bestFit="1" customWidth="1"/>
    <col min="8791" max="8791" width="18.7109375" style="166" bestFit="1" customWidth="1"/>
    <col min="8792" max="8792" width="12.85546875" style="166" bestFit="1" customWidth="1"/>
    <col min="8793" max="8793" width="13.5703125" style="166" bestFit="1" customWidth="1"/>
    <col min="8794" max="8794" width="10.42578125" style="166" bestFit="1" customWidth="1"/>
    <col min="8795" max="8795" width="9" style="166" bestFit="1" customWidth="1"/>
    <col min="8796" max="8796" width="11.140625" style="166" customWidth="1"/>
    <col min="8797" max="8798" width="9.85546875" style="166" customWidth="1"/>
    <col min="8799" max="8799" width="8.85546875" style="166" customWidth="1"/>
    <col min="8800" max="8801" width="9.85546875" style="166" customWidth="1"/>
    <col min="8802" max="8802" width="13.28515625" style="166" bestFit="1" customWidth="1"/>
    <col min="8803" max="8803" width="15.85546875" style="166" bestFit="1" customWidth="1"/>
    <col min="8804" max="8804" width="8" style="166" bestFit="1" customWidth="1"/>
    <col min="8805" max="8805" width="12.85546875" style="166" bestFit="1" customWidth="1"/>
    <col min="8806" max="9034" width="11.42578125" style="166"/>
    <col min="9035" max="9035" width="6.28515625" style="166" bestFit="1" customWidth="1"/>
    <col min="9036" max="9036" width="19.28515625" style="166" bestFit="1" customWidth="1"/>
    <col min="9037" max="9037" width="59.7109375" style="166" bestFit="1" customWidth="1"/>
    <col min="9038" max="9039" width="13.85546875" style="166" bestFit="1" customWidth="1"/>
    <col min="9040" max="9040" width="11.42578125" style="166"/>
    <col min="9041" max="9043" width="12.42578125" style="166" bestFit="1" customWidth="1"/>
    <col min="9044" max="9044" width="11.42578125" style="166"/>
    <col min="9045" max="9046" width="12.42578125" style="166" bestFit="1" customWidth="1"/>
    <col min="9047" max="9047" width="18.7109375" style="166" bestFit="1" customWidth="1"/>
    <col min="9048" max="9048" width="12.85546875" style="166" bestFit="1" customWidth="1"/>
    <col min="9049" max="9049" width="13.5703125" style="166" bestFit="1" customWidth="1"/>
    <col min="9050" max="9050" width="10.42578125" style="166" bestFit="1" customWidth="1"/>
    <col min="9051" max="9051" width="9" style="166" bestFit="1" customWidth="1"/>
    <col min="9052" max="9052" width="11.140625" style="166" customWidth="1"/>
    <col min="9053" max="9054" width="9.85546875" style="166" customWidth="1"/>
    <col min="9055" max="9055" width="8.85546875" style="166" customWidth="1"/>
    <col min="9056" max="9057" width="9.85546875" style="166" customWidth="1"/>
    <col min="9058" max="9058" width="13.28515625" style="166" bestFit="1" customWidth="1"/>
    <col min="9059" max="9059" width="15.85546875" style="166" bestFit="1" customWidth="1"/>
    <col min="9060" max="9060" width="8" style="166" bestFit="1" customWidth="1"/>
    <col min="9061" max="9061" width="12.85546875" style="166" bestFit="1" customWidth="1"/>
    <col min="9062" max="9290" width="11.42578125" style="166"/>
    <col min="9291" max="9291" width="6.28515625" style="166" bestFit="1" customWidth="1"/>
    <col min="9292" max="9292" width="19.28515625" style="166" bestFit="1" customWidth="1"/>
    <col min="9293" max="9293" width="59.7109375" style="166" bestFit="1" customWidth="1"/>
    <col min="9294" max="9295" width="13.85546875" style="166" bestFit="1" customWidth="1"/>
    <col min="9296" max="9296" width="11.42578125" style="166"/>
    <col min="9297" max="9299" width="12.42578125" style="166" bestFit="1" customWidth="1"/>
    <col min="9300" max="9300" width="11.42578125" style="166"/>
    <col min="9301" max="9302" width="12.42578125" style="166" bestFit="1" customWidth="1"/>
    <col min="9303" max="9303" width="18.7109375" style="166" bestFit="1" customWidth="1"/>
    <col min="9304" max="9304" width="12.85546875" style="166" bestFit="1" customWidth="1"/>
    <col min="9305" max="9305" width="13.5703125" style="166" bestFit="1" customWidth="1"/>
    <col min="9306" max="9306" width="10.42578125" style="166" bestFit="1" customWidth="1"/>
    <col min="9307" max="9307" width="9" style="166" bestFit="1" customWidth="1"/>
    <col min="9308" max="9308" width="11.140625" style="166" customWidth="1"/>
    <col min="9309" max="9310" width="9.85546875" style="166" customWidth="1"/>
    <col min="9311" max="9311" width="8.85546875" style="166" customWidth="1"/>
    <col min="9312" max="9313" width="9.85546875" style="166" customWidth="1"/>
    <col min="9314" max="9314" width="13.28515625" style="166" bestFit="1" customWidth="1"/>
    <col min="9315" max="9315" width="15.85546875" style="166" bestFit="1" customWidth="1"/>
    <col min="9316" max="9316" width="8" style="166" bestFit="1" customWidth="1"/>
    <col min="9317" max="9317" width="12.85546875" style="166" bestFit="1" customWidth="1"/>
    <col min="9318" max="9546" width="11.42578125" style="166"/>
    <col min="9547" max="9547" width="6.28515625" style="166" bestFit="1" customWidth="1"/>
    <col min="9548" max="9548" width="19.28515625" style="166" bestFit="1" customWidth="1"/>
    <col min="9549" max="9549" width="59.7109375" style="166" bestFit="1" customWidth="1"/>
    <col min="9550" max="9551" width="13.85546875" style="166" bestFit="1" customWidth="1"/>
    <col min="9552" max="9552" width="11.42578125" style="166"/>
    <col min="9553" max="9555" width="12.42578125" style="166" bestFit="1" customWidth="1"/>
    <col min="9556" max="9556" width="11.42578125" style="166"/>
    <col min="9557" max="9558" width="12.42578125" style="166" bestFit="1" customWidth="1"/>
    <col min="9559" max="9559" width="18.7109375" style="166" bestFit="1" customWidth="1"/>
    <col min="9560" max="9560" width="12.85546875" style="166" bestFit="1" customWidth="1"/>
    <col min="9561" max="9561" width="13.5703125" style="166" bestFit="1" customWidth="1"/>
    <col min="9562" max="9562" width="10.42578125" style="166" bestFit="1" customWidth="1"/>
    <col min="9563" max="9563" width="9" style="166" bestFit="1" customWidth="1"/>
    <col min="9564" max="9564" width="11.140625" style="166" customWidth="1"/>
    <col min="9565" max="9566" width="9.85546875" style="166" customWidth="1"/>
    <col min="9567" max="9567" width="8.85546875" style="166" customWidth="1"/>
    <col min="9568" max="9569" width="9.85546875" style="166" customWidth="1"/>
    <col min="9570" max="9570" width="13.28515625" style="166" bestFit="1" customWidth="1"/>
    <col min="9571" max="9571" width="15.85546875" style="166" bestFit="1" customWidth="1"/>
    <col min="9572" max="9572" width="8" style="166" bestFit="1" customWidth="1"/>
    <col min="9573" max="9573" width="12.85546875" style="166" bestFit="1" customWidth="1"/>
    <col min="9574" max="9802" width="11.42578125" style="166"/>
    <col min="9803" max="9803" width="6.28515625" style="166" bestFit="1" customWidth="1"/>
    <col min="9804" max="9804" width="19.28515625" style="166" bestFit="1" customWidth="1"/>
    <col min="9805" max="9805" width="59.7109375" style="166" bestFit="1" customWidth="1"/>
    <col min="9806" max="9807" width="13.85546875" style="166" bestFit="1" customWidth="1"/>
    <col min="9808" max="9808" width="11.42578125" style="166"/>
    <col min="9809" max="9811" width="12.42578125" style="166" bestFit="1" customWidth="1"/>
    <col min="9812" max="9812" width="11.42578125" style="166"/>
    <col min="9813" max="9814" width="12.42578125" style="166" bestFit="1" customWidth="1"/>
    <col min="9815" max="9815" width="18.7109375" style="166" bestFit="1" customWidth="1"/>
    <col min="9816" max="9816" width="12.85546875" style="166" bestFit="1" customWidth="1"/>
    <col min="9817" max="9817" width="13.5703125" style="166" bestFit="1" customWidth="1"/>
    <col min="9818" max="9818" width="10.42578125" style="166" bestFit="1" customWidth="1"/>
    <col min="9819" max="9819" width="9" style="166" bestFit="1" customWidth="1"/>
    <col min="9820" max="9820" width="11.140625" style="166" customWidth="1"/>
    <col min="9821" max="9822" width="9.85546875" style="166" customWidth="1"/>
    <col min="9823" max="9823" width="8.85546875" style="166" customWidth="1"/>
    <col min="9824" max="9825" width="9.85546875" style="166" customWidth="1"/>
    <col min="9826" max="9826" width="13.28515625" style="166" bestFit="1" customWidth="1"/>
    <col min="9827" max="9827" width="15.85546875" style="166" bestFit="1" customWidth="1"/>
    <col min="9828" max="9828" width="8" style="166" bestFit="1" customWidth="1"/>
    <col min="9829" max="9829" width="12.85546875" style="166" bestFit="1" customWidth="1"/>
    <col min="9830" max="10058" width="11.42578125" style="166"/>
    <col min="10059" max="10059" width="6.28515625" style="166" bestFit="1" customWidth="1"/>
    <col min="10060" max="10060" width="19.28515625" style="166" bestFit="1" customWidth="1"/>
    <col min="10061" max="10061" width="59.7109375" style="166" bestFit="1" customWidth="1"/>
    <col min="10062" max="10063" width="13.85546875" style="166" bestFit="1" customWidth="1"/>
    <col min="10064" max="10064" width="11.42578125" style="166"/>
    <col min="10065" max="10067" width="12.42578125" style="166" bestFit="1" customWidth="1"/>
    <col min="10068" max="10068" width="11.42578125" style="166"/>
    <col min="10069" max="10070" width="12.42578125" style="166" bestFit="1" customWidth="1"/>
    <col min="10071" max="10071" width="18.7109375" style="166" bestFit="1" customWidth="1"/>
    <col min="10072" max="10072" width="12.85546875" style="166" bestFit="1" customWidth="1"/>
    <col min="10073" max="10073" width="13.5703125" style="166" bestFit="1" customWidth="1"/>
    <col min="10074" max="10074" width="10.42578125" style="166" bestFit="1" customWidth="1"/>
    <col min="10075" max="10075" width="9" style="166" bestFit="1" customWidth="1"/>
    <col min="10076" max="10076" width="11.140625" style="166" customWidth="1"/>
    <col min="10077" max="10078" width="9.85546875" style="166" customWidth="1"/>
    <col min="10079" max="10079" width="8.85546875" style="166" customWidth="1"/>
    <col min="10080" max="10081" width="9.85546875" style="166" customWidth="1"/>
    <col min="10082" max="10082" width="13.28515625" style="166" bestFit="1" customWidth="1"/>
    <col min="10083" max="10083" width="15.85546875" style="166" bestFit="1" customWidth="1"/>
    <col min="10084" max="10084" width="8" style="166" bestFit="1" customWidth="1"/>
    <col min="10085" max="10085" width="12.85546875" style="166" bestFit="1" customWidth="1"/>
    <col min="10086" max="10314" width="11.42578125" style="166"/>
    <col min="10315" max="10315" width="6.28515625" style="166" bestFit="1" customWidth="1"/>
    <col min="10316" max="10316" width="19.28515625" style="166" bestFit="1" customWidth="1"/>
    <col min="10317" max="10317" width="59.7109375" style="166" bestFit="1" customWidth="1"/>
    <col min="10318" max="10319" width="13.85546875" style="166" bestFit="1" customWidth="1"/>
    <col min="10320" max="10320" width="11.42578125" style="166"/>
    <col min="10321" max="10323" width="12.42578125" style="166" bestFit="1" customWidth="1"/>
    <col min="10324" max="10324" width="11.42578125" style="166"/>
    <col min="10325" max="10326" width="12.42578125" style="166" bestFit="1" customWidth="1"/>
    <col min="10327" max="10327" width="18.7109375" style="166" bestFit="1" customWidth="1"/>
    <col min="10328" max="10328" width="12.85546875" style="166" bestFit="1" customWidth="1"/>
    <col min="10329" max="10329" width="13.5703125" style="166" bestFit="1" customWidth="1"/>
    <col min="10330" max="10330" width="10.42578125" style="166" bestFit="1" customWidth="1"/>
    <col min="10331" max="10331" width="9" style="166" bestFit="1" customWidth="1"/>
    <col min="10332" max="10332" width="11.140625" style="166" customWidth="1"/>
    <col min="10333" max="10334" width="9.85546875" style="166" customWidth="1"/>
    <col min="10335" max="10335" width="8.85546875" style="166" customWidth="1"/>
    <col min="10336" max="10337" width="9.85546875" style="166" customWidth="1"/>
    <col min="10338" max="10338" width="13.28515625" style="166" bestFit="1" customWidth="1"/>
    <col min="10339" max="10339" width="15.85546875" style="166" bestFit="1" customWidth="1"/>
    <col min="10340" max="10340" width="8" style="166" bestFit="1" customWidth="1"/>
    <col min="10341" max="10341" width="12.85546875" style="166" bestFit="1" customWidth="1"/>
    <col min="10342" max="10570" width="11.42578125" style="166"/>
    <col min="10571" max="10571" width="6.28515625" style="166" bestFit="1" customWidth="1"/>
    <col min="10572" max="10572" width="19.28515625" style="166" bestFit="1" customWidth="1"/>
    <col min="10573" max="10573" width="59.7109375" style="166" bestFit="1" customWidth="1"/>
    <col min="10574" max="10575" width="13.85546875" style="166" bestFit="1" customWidth="1"/>
    <col min="10576" max="10576" width="11.42578125" style="166"/>
    <col min="10577" max="10579" width="12.42578125" style="166" bestFit="1" customWidth="1"/>
    <col min="10580" max="10580" width="11.42578125" style="166"/>
    <col min="10581" max="10582" width="12.42578125" style="166" bestFit="1" customWidth="1"/>
    <col min="10583" max="10583" width="18.7109375" style="166" bestFit="1" customWidth="1"/>
    <col min="10584" max="10584" width="12.85546875" style="166" bestFit="1" customWidth="1"/>
    <col min="10585" max="10585" width="13.5703125" style="166" bestFit="1" customWidth="1"/>
    <col min="10586" max="10586" width="10.42578125" style="166" bestFit="1" customWidth="1"/>
    <col min="10587" max="10587" width="9" style="166" bestFit="1" customWidth="1"/>
    <col min="10588" max="10588" width="11.140625" style="166" customWidth="1"/>
    <col min="10589" max="10590" width="9.85546875" style="166" customWidth="1"/>
    <col min="10591" max="10591" width="8.85546875" style="166" customWidth="1"/>
    <col min="10592" max="10593" width="9.85546875" style="166" customWidth="1"/>
    <col min="10594" max="10594" width="13.28515625" style="166" bestFit="1" customWidth="1"/>
    <col min="10595" max="10595" width="15.85546875" style="166" bestFit="1" customWidth="1"/>
    <col min="10596" max="10596" width="8" style="166" bestFit="1" customWidth="1"/>
    <col min="10597" max="10597" width="12.85546875" style="166" bestFit="1" customWidth="1"/>
    <col min="10598" max="10826" width="11.42578125" style="166"/>
    <col min="10827" max="10827" width="6.28515625" style="166" bestFit="1" customWidth="1"/>
    <col min="10828" max="10828" width="19.28515625" style="166" bestFit="1" customWidth="1"/>
    <col min="10829" max="10829" width="59.7109375" style="166" bestFit="1" customWidth="1"/>
    <col min="10830" max="10831" width="13.85546875" style="166" bestFit="1" customWidth="1"/>
    <col min="10832" max="10832" width="11.42578125" style="166"/>
    <col min="10833" max="10835" width="12.42578125" style="166" bestFit="1" customWidth="1"/>
    <col min="10836" max="10836" width="11.42578125" style="166"/>
    <col min="10837" max="10838" width="12.42578125" style="166" bestFit="1" customWidth="1"/>
    <col min="10839" max="10839" width="18.7109375" style="166" bestFit="1" customWidth="1"/>
    <col min="10840" max="10840" width="12.85546875" style="166" bestFit="1" customWidth="1"/>
    <col min="10841" max="10841" width="13.5703125" style="166" bestFit="1" customWidth="1"/>
    <col min="10842" max="10842" width="10.42578125" style="166" bestFit="1" customWidth="1"/>
    <col min="10843" max="10843" width="9" style="166" bestFit="1" customWidth="1"/>
    <col min="10844" max="10844" width="11.140625" style="166" customWidth="1"/>
    <col min="10845" max="10846" width="9.85546875" style="166" customWidth="1"/>
    <col min="10847" max="10847" width="8.85546875" style="166" customWidth="1"/>
    <col min="10848" max="10849" width="9.85546875" style="166" customWidth="1"/>
    <col min="10850" max="10850" width="13.28515625" style="166" bestFit="1" customWidth="1"/>
    <col min="10851" max="10851" width="15.85546875" style="166" bestFit="1" customWidth="1"/>
    <col min="10852" max="10852" width="8" style="166" bestFit="1" customWidth="1"/>
    <col min="10853" max="10853" width="12.85546875" style="166" bestFit="1" customWidth="1"/>
    <col min="10854" max="11082" width="11.42578125" style="166"/>
    <col min="11083" max="11083" width="6.28515625" style="166" bestFit="1" customWidth="1"/>
    <col min="11084" max="11084" width="19.28515625" style="166" bestFit="1" customWidth="1"/>
    <col min="11085" max="11085" width="59.7109375" style="166" bestFit="1" customWidth="1"/>
    <col min="11086" max="11087" width="13.85546875" style="166" bestFit="1" customWidth="1"/>
    <col min="11088" max="11088" width="11.42578125" style="166"/>
    <col min="11089" max="11091" width="12.42578125" style="166" bestFit="1" customWidth="1"/>
    <col min="11092" max="11092" width="11.42578125" style="166"/>
    <col min="11093" max="11094" width="12.42578125" style="166" bestFit="1" customWidth="1"/>
    <col min="11095" max="11095" width="18.7109375" style="166" bestFit="1" customWidth="1"/>
    <col min="11096" max="11096" width="12.85546875" style="166" bestFit="1" customWidth="1"/>
    <col min="11097" max="11097" width="13.5703125" style="166" bestFit="1" customWidth="1"/>
    <col min="11098" max="11098" width="10.42578125" style="166" bestFit="1" customWidth="1"/>
    <col min="11099" max="11099" width="9" style="166" bestFit="1" customWidth="1"/>
    <col min="11100" max="11100" width="11.140625" style="166" customWidth="1"/>
    <col min="11101" max="11102" width="9.85546875" style="166" customWidth="1"/>
    <col min="11103" max="11103" width="8.85546875" style="166" customWidth="1"/>
    <col min="11104" max="11105" width="9.85546875" style="166" customWidth="1"/>
    <col min="11106" max="11106" width="13.28515625" style="166" bestFit="1" customWidth="1"/>
    <col min="11107" max="11107" width="15.85546875" style="166" bestFit="1" customWidth="1"/>
    <col min="11108" max="11108" width="8" style="166" bestFit="1" customWidth="1"/>
    <col min="11109" max="11109" width="12.85546875" style="166" bestFit="1" customWidth="1"/>
    <col min="11110" max="11338" width="11.42578125" style="166"/>
    <col min="11339" max="11339" width="6.28515625" style="166" bestFit="1" customWidth="1"/>
    <col min="11340" max="11340" width="19.28515625" style="166" bestFit="1" customWidth="1"/>
    <col min="11341" max="11341" width="59.7109375" style="166" bestFit="1" customWidth="1"/>
    <col min="11342" max="11343" width="13.85546875" style="166" bestFit="1" customWidth="1"/>
    <col min="11344" max="11344" width="11.42578125" style="166"/>
    <col min="11345" max="11347" width="12.42578125" style="166" bestFit="1" customWidth="1"/>
    <col min="11348" max="11348" width="11.42578125" style="166"/>
    <col min="11349" max="11350" width="12.42578125" style="166" bestFit="1" customWidth="1"/>
    <col min="11351" max="11351" width="18.7109375" style="166" bestFit="1" customWidth="1"/>
    <col min="11352" max="11352" width="12.85546875" style="166" bestFit="1" customWidth="1"/>
    <col min="11353" max="11353" width="13.5703125" style="166" bestFit="1" customWidth="1"/>
    <col min="11354" max="11354" width="10.42578125" style="166" bestFit="1" customWidth="1"/>
    <col min="11355" max="11355" width="9" style="166" bestFit="1" customWidth="1"/>
    <col min="11356" max="11356" width="11.140625" style="166" customWidth="1"/>
    <col min="11357" max="11358" width="9.85546875" style="166" customWidth="1"/>
    <col min="11359" max="11359" width="8.85546875" style="166" customWidth="1"/>
    <col min="11360" max="11361" width="9.85546875" style="166" customWidth="1"/>
    <col min="11362" max="11362" width="13.28515625" style="166" bestFit="1" customWidth="1"/>
    <col min="11363" max="11363" width="15.85546875" style="166" bestFit="1" customWidth="1"/>
    <col min="11364" max="11364" width="8" style="166" bestFit="1" customWidth="1"/>
    <col min="11365" max="11365" width="12.85546875" style="166" bestFit="1" customWidth="1"/>
    <col min="11366" max="11594" width="11.42578125" style="166"/>
    <col min="11595" max="11595" width="6.28515625" style="166" bestFit="1" customWidth="1"/>
    <col min="11596" max="11596" width="19.28515625" style="166" bestFit="1" customWidth="1"/>
    <col min="11597" max="11597" width="59.7109375" style="166" bestFit="1" customWidth="1"/>
    <col min="11598" max="11599" width="13.85546875" style="166" bestFit="1" customWidth="1"/>
    <col min="11600" max="11600" width="11.42578125" style="166"/>
    <col min="11601" max="11603" width="12.42578125" style="166" bestFit="1" customWidth="1"/>
    <col min="11604" max="11604" width="11.42578125" style="166"/>
    <col min="11605" max="11606" width="12.42578125" style="166" bestFit="1" customWidth="1"/>
    <col min="11607" max="11607" width="18.7109375" style="166" bestFit="1" customWidth="1"/>
    <col min="11608" max="11608" width="12.85546875" style="166" bestFit="1" customWidth="1"/>
    <col min="11609" max="11609" width="13.5703125" style="166" bestFit="1" customWidth="1"/>
    <col min="11610" max="11610" width="10.42578125" style="166" bestFit="1" customWidth="1"/>
    <col min="11611" max="11611" width="9" style="166" bestFit="1" customWidth="1"/>
    <col min="11612" max="11612" width="11.140625" style="166" customWidth="1"/>
    <col min="11613" max="11614" width="9.85546875" style="166" customWidth="1"/>
    <col min="11615" max="11615" width="8.85546875" style="166" customWidth="1"/>
    <col min="11616" max="11617" width="9.85546875" style="166" customWidth="1"/>
    <col min="11618" max="11618" width="13.28515625" style="166" bestFit="1" customWidth="1"/>
    <col min="11619" max="11619" width="15.85546875" style="166" bestFit="1" customWidth="1"/>
    <col min="11620" max="11620" width="8" style="166" bestFit="1" customWidth="1"/>
    <col min="11621" max="11621" width="12.85546875" style="166" bestFit="1" customWidth="1"/>
    <col min="11622" max="11850" width="11.42578125" style="166"/>
    <col min="11851" max="11851" width="6.28515625" style="166" bestFit="1" customWidth="1"/>
    <col min="11852" max="11852" width="19.28515625" style="166" bestFit="1" customWidth="1"/>
    <col min="11853" max="11853" width="59.7109375" style="166" bestFit="1" customWidth="1"/>
    <col min="11854" max="11855" width="13.85546875" style="166" bestFit="1" customWidth="1"/>
    <col min="11856" max="11856" width="11.42578125" style="166"/>
    <col min="11857" max="11859" width="12.42578125" style="166" bestFit="1" customWidth="1"/>
    <col min="11860" max="11860" width="11.42578125" style="166"/>
    <col min="11861" max="11862" width="12.42578125" style="166" bestFit="1" customWidth="1"/>
    <col min="11863" max="11863" width="18.7109375" style="166" bestFit="1" customWidth="1"/>
    <col min="11864" max="11864" width="12.85546875" style="166" bestFit="1" customWidth="1"/>
    <col min="11865" max="11865" width="13.5703125" style="166" bestFit="1" customWidth="1"/>
    <col min="11866" max="11866" width="10.42578125" style="166" bestFit="1" customWidth="1"/>
    <col min="11867" max="11867" width="9" style="166" bestFit="1" customWidth="1"/>
    <col min="11868" max="11868" width="11.140625" style="166" customWidth="1"/>
    <col min="11869" max="11870" width="9.85546875" style="166" customWidth="1"/>
    <col min="11871" max="11871" width="8.85546875" style="166" customWidth="1"/>
    <col min="11872" max="11873" width="9.85546875" style="166" customWidth="1"/>
    <col min="11874" max="11874" width="13.28515625" style="166" bestFit="1" customWidth="1"/>
    <col min="11875" max="11875" width="15.85546875" style="166" bestFit="1" customWidth="1"/>
    <col min="11876" max="11876" width="8" style="166" bestFit="1" customWidth="1"/>
    <col min="11877" max="11877" width="12.85546875" style="166" bestFit="1" customWidth="1"/>
    <col min="11878" max="12106" width="11.42578125" style="166"/>
    <col min="12107" max="12107" width="6.28515625" style="166" bestFit="1" customWidth="1"/>
    <col min="12108" max="12108" width="19.28515625" style="166" bestFit="1" customWidth="1"/>
    <col min="12109" max="12109" width="59.7109375" style="166" bestFit="1" customWidth="1"/>
    <col min="12110" max="12111" width="13.85546875" style="166" bestFit="1" customWidth="1"/>
    <col min="12112" max="12112" width="11.42578125" style="166"/>
    <col min="12113" max="12115" width="12.42578125" style="166" bestFit="1" customWidth="1"/>
    <col min="12116" max="12116" width="11.42578125" style="166"/>
    <col min="12117" max="12118" width="12.42578125" style="166" bestFit="1" customWidth="1"/>
    <col min="12119" max="12119" width="18.7109375" style="166" bestFit="1" customWidth="1"/>
    <col min="12120" max="12120" width="12.85546875" style="166" bestFit="1" customWidth="1"/>
    <col min="12121" max="12121" width="13.5703125" style="166" bestFit="1" customWidth="1"/>
    <col min="12122" max="12122" width="10.42578125" style="166" bestFit="1" customWidth="1"/>
    <col min="12123" max="12123" width="9" style="166" bestFit="1" customWidth="1"/>
    <col min="12124" max="12124" width="11.140625" style="166" customWidth="1"/>
    <col min="12125" max="12126" width="9.85546875" style="166" customWidth="1"/>
    <col min="12127" max="12127" width="8.85546875" style="166" customWidth="1"/>
    <col min="12128" max="12129" width="9.85546875" style="166" customWidth="1"/>
    <col min="12130" max="12130" width="13.28515625" style="166" bestFit="1" customWidth="1"/>
    <col min="12131" max="12131" width="15.85546875" style="166" bestFit="1" customWidth="1"/>
    <col min="12132" max="12132" width="8" style="166" bestFit="1" customWidth="1"/>
    <col min="12133" max="12133" width="12.85546875" style="166" bestFit="1" customWidth="1"/>
    <col min="12134" max="12362" width="11.42578125" style="166"/>
    <col min="12363" max="12363" width="6.28515625" style="166" bestFit="1" customWidth="1"/>
    <col min="12364" max="12364" width="19.28515625" style="166" bestFit="1" customWidth="1"/>
    <col min="12365" max="12365" width="59.7109375" style="166" bestFit="1" customWidth="1"/>
    <col min="12366" max="12367" width="13.85546875" style="166" bestFit="1" customWidth="1"/>
    <col min="12368" max="12368" width="11.42578125" style="166"/>
    <col min="12369" max="12371" width="12.42578125" style="166" bestFit="1" customWidth="1"/>
    <col min="12372" max="12372" width="11.42578125" style="166"/>
    <col min="12373" max="12374" width="12.42578125" style="166" bestFit="1" customWidth="1"/>
    <col min="12375" max="12375" width="18.7109375" style="166" bestFit="1" customWidth="1"/>
    <col min="12376" max="12376" width="12.85546875" style="166" bestFit="1" customWidth="1"/>
    <col min="12377" max="12377" width="13.5703125" style="166" bestFit="1" customWidth="1"/>
    <col min="12378" max="12378" width="10.42578125" style="166" bestFit="1" customWidth="1"/>
    <col min="12379" max="12379" width="9" style="166" bestFit="1" customWidth="1"/>
    <col min="12380" max="12380" width="11.140625" style="166" customWidth="1"/>
    <col min="12381" max="12382" width="9.85546875" style="166" customWidth="1"/>
    <col min="12383" max="12383" width="8.85546875" style="166" customWidth="1"/>
    <col min="12384" max="12385" width="9.85546875" style="166" customWidth="1"/>
    <col min="12386" max="12386" width="13.28515625" style="166" bestFit="1" customWidth="1"/>
    <col min="12387" max="12387" width="15.85546875" style="166" bestFit="1" customWidth="1"/>
    <col min="12388" max="12388" width="8" style="166" bestFit="1" customWidth="1"/>
    <col min="12389" max="12389" width="12.85546875" style="166" bestFit="1" customWidth="1"/>
    <col min="12390" max="12618" width="11.42578125" style="166"/>
    <col min="12619" max="12619" width="6.28515625" style="166" bestFit="1" customWidth="1"/>
    <col min="12620" max="12620" width="19.28515625" style="166" bestFit="1" customWidth="1"/>
    <col min="12621" max="12621" width="59.7109375" style="166" bestFit="1" customWidth="1"/>
    <col min="12622" max="12623" width="13.85546875" style="166" bestFit="1" customWidth="1"/>
    <col min="12624" max="12624" width="11.42578125" style="166"/>
    <col min="12625" max="12627" width="12.42578125" style="166" bestFit="1" customWidth="1"/>
    <col min="12628" max="12628" width="11.42578125" style="166"/>
    <col min="12629" max="12630" width="12.42578125" style="166" bestFit="1" customWidth="1"/>
    <col min="12631" max="12631" width="18.7109375" style="166" bestFit="1" customWidth="1"/>
    <col min="12632" max="12632" width="12.85546875" style="166" bestFit="1" customWidth="1"/>
    <col min="12633" max="12633" width="13.5703125" style="166" bestFit="1" customWidth="1"/>
    <col min="12634" max="12634" width="10.42578125" style="166" bestFit="1" customWidth="1"/>
    <col min="12635" max="12635" width="9" style="166" bestFit="1" customWidth="1"/>
    <col min="12636" max="12636" width="11.140625" style="166" customWidth="1"/>
    <col min="12637" max="12638" width="9.85546875" style="166" customWidth="1"/>
    <col min="12639" max="12639" width="8.85546875" style="166" customWidth="1"/>
    <col min="12640" max="12641" width="9.85546875" style="166" customWidth="1"/>
    <col min="12642" max="12642" width="13.28515625" style="166" bestFit="1" customWidth="1"/>
    <col min="12643" max="12643" width="15.85546875" style="166" bestFit="1" customWidth="1"/>
    <col min="12644" max="12644" width="8" style="166" bestFit="1" customWidth="1"/>
    <col min="12645" max="12645" width="12.85546875" style="166" bestFit="1" customWidth="1"/>
    <col min="12646" max="12874" width="11.42578125" style="166"/>
    <col min="12875" max="12875" width="6.28515625" style="166" bestFit="1" customWidth="1"/>
    <col min="12876" max="12876" width="19.28515625" style="166" bestFit="1" customWidth="1"/>
    <col min="12877" max="12877" width="59.7109375" style="166" bestFit="1" customWidth="1"/>
    <col min="12878" max="12879" width="13.85546875" style="166" bestFit="1" customWidth="1"/>
    <col min="12880" max="12880" width="11.42578125" style="166"/>
    <col min="12881" max="12883" width="12.42578125" style="166" bestFit="1" customWidth="1"/>
    <col min="12884" max="12884" width="11.42578125" style="166"/>
    <col min="12885" max="12886" width="12.42578125" style="166" bestFit="1" customWidth="1"/>
    <col min="12887" max="12887" width="18.7109375" style="166" bestFit="1" customWidth="1"/>
    <col min="12888" max="12888" width="12.85546875" style="166" bestFit="1" customWidth="1"/>
    <col min="12889" max="12889" width="13.5703125" style="166" bestFit="1" customWidth="1"/>
    <col min="12890" max="12890" width="10.42578125" style="166" bestFit="1" customWidth="1"/>
    <col min="12891" max="12891" width="9" style="166" bestFit="1" customWidth="1"/>
    <col min="12892" max="12892" width="11.140625" style="166" customWidth="1"/>
    <col min="12893" max="12894" width="9.85546875" style="166" customWidth="1"/>
    <col min="12895" max="12895" width="8.85546875" style="166" customWidth="1"/>
    <col min="12896" max="12897" width="9.85546875" style="166" customWidth="1"/>
    <col min="12898" max="12898" width="13.28515625" style="166" bestFit="1" customWidth="1"/>
    <col min="12899" max="12899" width="15.85546875" style="166" bestFit="1" customWidth="1"/>
    <col min="12900" max="12900" width="8" style="166" bestFit="1" customWidth="1"/>
    <col min="12901" max="12901" width="12.85546875" style="166" bestFit="1" customWidth="1"/>
    <col min="12902" max="13128" width="11.42578125" style="166"/>
    <col min="13129" max="16384" width="11.140625" style="166" customWidth="1"/>
  </cols>
  <sheetData>
    <row r="1" spans="1:15" ht="12.2" customHeight="1" x14ac:dyDescent="0.25">
      <c r="A1" s="155" t="s">
        <v>54</v>
      </c>
      <c r="B1" s="156" t="s">
        <v>55</v>
      </c>
      <c r="C1" s="157" t="s">
        <v>56</v>
      </c>
      <c r="D1" s="158" t="s">
        <v>57</v>
      </c>
      <c r="E1" s="159" t="s">
        <v>58</v>
      </c>
      <c r="F1" s="160">
        <v>0.2</v>
      </c>
      <c r="G1" s="161">
        <v>0.15</v>
      </c>
      <c r="H1" s="162">
        <v>0.1</v>
      </c>
      <c r="I1" s="163">
        <v>0.05</v>
      </c>
      <c r="J1" s="164" t="s">
        <v>59</v>
      </c>
      <c r="K1" s="164" t="s">
        <v>59</v>
      </c>
      <c r="L1" s="165" t="s">
        <v>60</v>
      </c>
      <c r="M1" s="165" t="s">
        <v>60</v>
      </c>
      <c r="N1" s="165" t="s">
        <v>61</v>
      </c>
      <c r="O1" s="157"/>
    </row>
    <row r="2" spans="1:15" s="174" customFormat="1" ht="12.2" customHeight="1" x14ac:dyDescent="0.25">
      <c r="A2" s="167" t="s">
        <v>62</v>
      </c>
      <c r="B2" s="167" t="s">
        <v>62</v>
      </c>
      <c r="C2" s="167" t="s">
        <v>62</v>
      </c>
      <c r="D2" s="168" t="s">
        <v>62</v>
      </c>
      <c r="E2" s="169" t="s">
        <v>62</v>
      </c>
      <c r="F2" s="170" t="s">
        <v>62</v>
      </c>
      <c r="G2" s="171" t="s">
        <v>62</v>
      </c>
      <c r="H2" s="172" t="s">
        <v>62</v>
      </c>
      <c r="I2" s="169" t="s">
        <v>62</v>
      </c>
      <c r="J2" s="173" t="s">
        <v>63</v>
      </c>
      <c r="K2" s="173" t="s">
        <v>64</v>
      </c>
      <c r="L2" s="165" t="s">
        <v>65</v>
      </c>
      <c r="M2" s="165" t="s">
        <v>65</v>
      </c>
      <c r="N2" s="165"/>
      <c r="O2" s="167"/>
    </row>
    <row r="3" spans="1:15" ht="12.2" customHeight="1" x14ac:dyDescent="0.25">
      <c r="A3" s="155">
        <v>1</v>
      </c>
      <c r="B3" s="156">
        <v>2</v>
      </c>
      <c r="C3" s="175" t="s">
        <v>66</v>
      </c>
      <c r="D3" s="176" t="s">
        <v>67</v>
      </c>
      <c r="E3" s="177" t="s">
        <v>68</v>
      </c>
      <c r="F3" s="178" t="s">
        <v>69</v>
      </c>
      <c r="G3" s="179" t="s">
        <v>70</v>
      </c>
      <c r="H3" s="180" t="s">
        <v>71</v>
      </c>
      <c r="I3" s="177" t="s">
        <v>72</v>
      </c>
      <c r="J3" s="181"/>
      <c r="K3" s="181"/>
      <c r="L3" s="182"/>
      <c r="M3" s="183" t="s">
        <v>73</v>
      </c>
      <c r="N3" s="182"/>
      <c r="O3" s="175"/>
    </row>
    <row r="4" spans="1:15" ht="12.2" customHeight="1" x14ac:dyDescent="0.25">
      <c r="A4" s="184"/>
      <c r="B4" s="185"/>
      <c r="C4" s="186" t="s">
        <v>74</v>
      </c>
      <c r="D4" s="176"/>
      <c r="E4" s="177"/>
      <c r="F4" s="178"/>
      <c r="G4" s="179"/>
      <c r="H4" s="180"/>
      <c r="I4" s="177"/>
      <c r="J4" s="181"/>
      <c r="K4" s="181"/>
      <c r="L4" s="187"/>
      <c r="M4" s="188"/>
      <c r="N4" s="187"/>
      <c r="O4" s="186"/>
    </row>
    <row r="5" spans="1:15" ht="12.2" customHeight="1" x14ac:dyDescent="0.25">
      <c r="A5" s="189" t="s">
        <v>12</v>
      </c>
      <c r="B5" s="190" t="s">
        <v>74</v>
      </c>
      <c r="C5" s="190" t="s">
        <v>75</v>
      </c>
      <c r="D5" s="191">
        <v>4700</v>
      </c>
      <c r="E5" s="192">
        <v>2800</v>
      </c>
      <c r="F5" s="193">
        <f>+ROUND(E5-H5*F$1,-1)</f>
        <v>2300</v>
      </c>
      <c r="G5" s="194">
        <f>+ROUND(E5-E5*G$1,-1)</f>
        <v>2380</v>
      </c>
      <c r="H5" s="195">
        <f>+ROUND(E5-E5*H$1,-1)</f>
        <v>2520</v>
      </c>
      <c r="I5" s="192">
        <f>+ROUND(E5-E5*I$1,-1)</f>
        <v>2660</v>
      </c>
      <c r="J5" s="196">
        <v>527.57729777777774</v>
      </c>
      <c r="K5" s="196">
        <v>1759.5772977777779</v>
      </c>
      <c r="L5" s="197">
        <f>+E5-K5</f>
        <v>1040.4227022222221</v>
      </c>
      <c r="M5" s="188">
        <f>+L5/E5</f>
        <v>0.37157953650793646</v>
      </c>
      <c r="N5" s="198"/>
      <c r="O5" s="190"/>
    </row>
    <row r="6" spans="1:15" ht="12.2" customHeight="1" x14ac:dyDescent="0.25">
      <c r="A6" s="189" t="s">
        <v>76</v>
      </c>
      <c r="B6" s="190" t="s">
        <v>74</v>
      </c>
      <c r="C6" s="190" t="s">
        <v>77</v>
      </c>
      <c r="D6" s="191">
        <v>0</v>
      </c>
      <c r="E6" s="192">
        <v>0</v>
      </c>
      <c r="F6" s="193">
        <f t="shared" ref="F6:F74" si="0">+ROUND(E6-H6*F$1,-1)</f>
        <v>0</v>
      </c>
      <c r="G6" s="194">
        <f t="shared" ref="G6:G74" si="1">+ROUND(E6-E6*G$1,-1)</f>
        <v>0</v>
      </c>
      <c r="H6" s="195">
        <f t="shared" ref="H6:H74" si="2">+ROUND(E6-E6*H$1,-1)</f>
        <v>0</v>
      </c>
      <c r="I6" s="192">
        <f t="shared" ref="I6:I74" si="3">+ROUND(E6-E6*I$1,-1)</f>
        <v>0</v>
      </c>
      <c r="J6" s="196"/>
      <c r="K6" s="196"/>
      <c r="L6" s="198" t="str">
        <f>IFERROR(VLOOKUP(#REF!,'[3]0-LPM'!$A$6:$D$10668,4,0),"")</f>
        <v/>
      </c>
      <c r="M6" s="188"/>
      <c r="N6" s="198">
        <f>IFERROR(VLOOKUP(A6,'[3]0-LPM'!$A$6:$D$10668,4,0),"")</f>
        <v>676.49365277777781</v>
      </c>
      <c r="O6" s="190"/>
    </row>
    <row r="7" spans="1:15" ht="12.2" customHeight="1" x14ac:dyDescent="0.25">
      <c r="A7" s="189" t="s">
        <v>78</v>
      </c>
      <c r="B7" s="190" t="s">
        <v>74</v>
      </c>
      <c r="C7" s="190" t="s">
        <v>79</v>
      </c>
      <c r="D7" s="191">
        <v>6500</v>
      </c>
      <c r="E7" s="192">
        <v>0</v>
      </c>
      <c r="F7" s="193">
        <f t="shared" si="0"/>
        <v>0</v>
      </c>
      <c r="G7" s="194">
        <f t="shared" si="1"/>
        <v>0</v>
      </c>
      <c r="H7" s="195">
        <f t="shared" si="2"/>
        <v>0</v>
      </c>
      <c r="I7" s="192">
        <f t="shared" si="3"/>
        <v>0</v>
      </c>
      <c r="J7" s="196"/>
      <c r="K7" s="196"/>
      <c r="L7" s="198" t="str">
        <f>IFERROR(VLOOKUP(#REF!,'[3]0-LPM'!$A$6:$D$10668,4,0),"")</f>
        <v/>
      </c>
      <c r="M7" s="188"/>
      <c r="N7" s="198">
        <f>IFERROR(VLOOKUP(A7,'[3]0-LPM'!$A$6:$D$10668,4,0),"")</f>
        <v>0</v>
      </c>
      <c r="O7" s="190"/>
    </row>
    <row r="8" spans="1:15" ht="12.2" customHeight="1" x14ac:dyDescent="0.25">
      <c r="A8" s="189" t="s">
        <v>80</v>
      </c>
      <c r="B8" s="190" t="s">
        <v>74</v>
      </c>
      <c r="C8" s="190" t="s">
        <v>81</v>
      </c>
      <c r="D8" s="191">
        <v>10000</v>
      </c>
      <c r="E8" s="192">
        <v>4400</v>
      </c>
      <c r="F8" s="193">
        <f t="shared" si="0"/>
        <v>3610</v>
      </c>
      <c r="G8" s="194">
        <f t="shared" si="1"/>
        <v>3740</v>
      </c>
      <c r="H8" s="195">
        <f t="shared" si="2"/>
        <v>3960</v>
      </c>
      <c r="I8" s="192">
        <f t="shared" si="3"/>
        <v>4180</v>
      </c>
      <c r="J8" s="196"/>
      <c r="K8" s="196"/>
      <c r="L8" s="198" t="str">
        <f>IFERROR(VLOOKUP(#REF!,'[3]0-LPM'!$A$6:$D$10668,4,0),"")</f>
        <v/>
      </c>
      <c r="M8" s="188"/>
      <c r="N8" s="198">
        <f>IFERROR(VLOOKUP(A8,'[3]0-LPM'!$A$6:$D$10668,4,0),"")</f>
        <v>1034.742025</v>
      </c>
      <c r="O8" s="190"/>
    </row>
    <row r="9" spans="1:15" ht="12.2" customHeight="1" x14ac:dyDescent="0.25">
      <c r="A9" s="189" t="s">
        <v>82</v>
      </c>
      <c r="B9" s="190" t="s">
        <v>74</v>
      </c>
      <c r="C9" s="190" t="s">
        <v>83</v>
      </c>
      <c r="D9" s="191">
        <v>8700</v>
      </c>
      <c r="E9" s="192">
        <v>4500</v>
      </c>
      <c r="F9" s="193">
        <f t="shared" si="0"/>
        <v>3690</v>
      </c>
      <c r="G9" s="194">
        <f t="shared" si="1"/>
        <v>3830</v>
      </c>
      <c r="H9" s="195">
        <f t="shared" si="2"/>
        <v>4050</v>
      </c>
      <c r="I9" s="192">
        <f t="shared" si="3"/>
        <v>4280</v>
      </c>
      <c r="J9" s="196"/>
      <c r="K9" s="196"/>
      <c r="L9" s="198" t="str">
        <f>IFERROR(VLOOKUP(#REF!,'[3]0-LPM'!$A$6:$D$10668,4,0),"")</f>
        <v/>
      </c>
      <c r="M9" s="188"/>
      <c r="N9" s="198">
        <f>IFERROR(VLOOKUP(A9,'[3]0-LPM'!$A$6:$D$10668,4,0),"")</f>
        <v>985.90812499999993</v>
      </c>
      <c r="O9" s="190"/>
    </row>
    <row r="10" spans="1:15" ht="12.2" customHeight="1" x14ac:dyDescent="0.25">
      <c r="A10" s="189" t="s">
        <v>84</v>
      </c>
      <c r="B10" s="190" t="s">
        <v>74</v>
      </c>
      <c r="C10" s="190" t="s">
        <v>85</v>
      </c>
      <c r="D10" s="191">
        <v>8700</v>
      </c>
      <c r="E10" s="192">
        <v>4400</v>
      </c>
      <c r="F10" s="193">
        <f t="shared" si="0"/>
        <v>3610</v>
      </c>
      <c r="G10" s="194">
        <f t="shared" si="1"/>
        <v>3740</v>
      </c>
      <c r="H10" s="195">
        <f t="shared" si="2"/>
        <v>3960</v>
      </c>
      <c r="I10" s="192">
        <f t="shared" si="3"/>
        <v>4180</v>
      </c>
      <c r="J10" s="196"/>
      <c r="K10" s="196"/>
      <c r="L10" s="198" t="str">
        <f>IFERROR(VLOOKUP(#REF!,'[3]0-LPM'!$A$6:$D$10668,4,0),"")</f>
        <v/>
      </c>
      <c r="M10" s="188"/>
      <c r="N10" s="198">
        <f>IFERROR(VLOOKUP(A10,'[3]0-LPM'!$A$6:$D$10668,4,0),"")</f>
        <v>819.95008333333328</v>
      </c>
      <c r="O10" s="190"/>
    </row>
    <row r="11" spans="1:15" ht="12.2" customHeight="1" x14ac:dyDescent="0.25">
      <c r="A11" s="199" t="s">
        <v>86</v>
      </c>
      <c r="B11" s="190" t="s">
        <v>74</v>
      </c>
      <c r="C11" s="190" t="s">
        <v>87</v>
      </c>
      <c r="D11" s="191">
        <v>8700</v>
      </c>
      <c r="E11" s="192">
        <v>7300</v>
      </c>
      <c r="F11" s="193">
        <f t="shared" si="0"/>
        <v>5990</v>
      </c>
      <c r="G11" s="194">
        <f t="shared" si="1"/>
        <v>6210</v>
      </c>
      <c r="H11" s="195">
        <f t="shared" si="2"/>
        <v>6570</v>
      </c>
      <c r="I11" s="192">
        <f t="shared" si="3"/>
        <v>6940</v>
      </c>
      <c r="J11" s="196"/>
      <c r="K11" s="196"/>
      <c r="L11" s="198" t="str">
        <f>IFERROR(VLOOKUP(#REF!,'[3]0-LPM'!$A$6:$D$10668,4,0),"")</f>
        <v/>
      </c>
      <c r="M11" s="188"/>
      <c r="N11" s="198">
        <f>IFERROR(VLOOKUP(A11,'[3]0-LPM'!$A$6:$D$10668,4,0),"")</f>
        <v>2457.6848080808081</v>
      </c>
      <c r="O11" s="190"/>
    </row>
    <row r="12" spans="1:15" ht="12.2" customHeight="1" x14ac:dyDescent="0.25">
      <c r="A12" s="199" t="s">
        <v>88</v>
      </c>
      <c r="B12" s="190" t="s">
        <v>74</v>
      </c>
      <c r="C12" s="190" t="s">
        <v>89</v>
      </c>
      <c r="D12" s="191">
        <v>0</v>
      </c>
      <c r="E12" s="192">
        <v>0</v>
      </c>
      <c r="F12" s="193">
        <f t="shared" si="0"/>
        <v>0</v>
      </c>
      <c r="G12" s="194">
        <f t="shared" si="1"/>
        <v>0</v>
      </c>
      <c r="H12" s="195">
        <f t="shared" si="2"/>
        <v>0</v>
      </c>
      <c r="I12" s="192">
        <f t="shared" si="3"/>
        <v>0</v>
      </c>
      <c r="J12" s="196"/>
      <c r="K12" s="196"/>
      <c r="L12" s="198" t="str">
        <f>IFERROR(VLOOKUP(#REF!,'[3]0-LPM'!$A$6:$D$10668,4,0),"")</f>
        <v/>
      </c>
      <c r="M12" s="188"/>
      <c r="N12" s="198" t="str">
        <f>IFERROR(VLOOKUP(A12,'[3]0-LPM'!$A$6:$D$10668,4,0),"")</f>
        <v/>
      </c>
      <c r="O12" s="190"/>
    </row>
    <row r="13" spans="1:15" ht="12.2" customHeight="1" x14ac:dyDescent="0.25">
      <c r="A13" s="199" t="s">
        <v>90</v>
      </c>
      <c r="B13" s="200" t="s">
        <v>74</v>
      </c>
      <c r="C13" s="200" t="s">
        <v>91</v>
      </c>
      <c r="D13" s="191">
        <v>7300</v>
      </c>
      <c r="E13" s="192">
        <v>3400</v>
      </c>
      <c r="F13" s="193">
        <f t="shared" si="0"/>
        <v>2790</v>
      </c>
      <c r="G13" s="194">
        <f t="shared" si="1"/>
        <v>2890</v>
      </c>
      <c r="H13" s="195">
        <f t="shared" si="2"/>
        <v>3060</v>
      </c>
      <c r="I13" s="192">
        <f t="shared" si="3"/>
        <v>3230</v>
      </c>
      <c r="J13" s="196"/>
      <c r="K13" s="196"/>
      <c r="L13" s="198" t="str">
        <f>IFERROR(VLOOKUP(#REF!,'[3]0-LPM'!$A$6:$D$10668,4,0),"")</f>
        <v/>
      </c>
      <c r="M13" s="188"/>
      <c r="N13" s="198">
        <f>IFERROR(VLOOKUP(A13,'[3]0-LPM'!$A$6:$D$10668,4,0),"")</f>
        <v>314.04321666666664</v>
      </c>
      <c r="O13" s="200"/>
    </row>
    <row r="14" spans="1:15" ht="12.2" customHeight="1" x14ac:dyDescent="0.25">
      <c r="A14" s="199" t="s">
        <v>92</v>
      </c>
      <c r="B14" s="200" t="s">
        <v>74</v>
      </c>
      <c r="C14" s="200" t="s">
        <v>93</v>
      </c>
      <c r="D14" s="191">
        <v>7400</v>
      </c>
      <c r="E14" s="192">
        <v>5000</v>
      </c>
      <c r="F14" s="193">
        <f t="shared" si="0"/>
        <v>4100</v>
      </c>
      <c r="G14" s="194">
        <f t="shared" si="1"/>
        <v>4250</v>
      </c>
      <c r="H14" s="195">
        <f t="shared" si="2"/>
        <v>4500</v>
      </c>
      <c r="I14" s="192">
        <f t="shared" si="3"/>
        <v>4750</v>
      </c>
      <c r="J14" s="196"/>
      <c r="K14" s="196"/>
      <c r="L14" s="198" t="str">
        <f>IFERROR(VLOOKUP(#REF!,'[3]0-LPM'!$A$6:$D$10668,4,0),"")</f>
        <v/>
      </c>
      <c r="M14" s="188"/>
      <c r="N14" s="198">
        <f>IFERROR(VLOOKUP(A14,'[3]0-LPM'!$A$6:$D$10668,4,0),"")</f>
        <v>3232.3794666666668</v>
      </c>
      <c r="O14" s="200"/>
    </row>
    <row r="15" spans="1:15" ht="12.2" customHeight="1" x14ac:dyDescent="0.25">
      <c r="A15" s="189" t="s">
        <v>94</v>
      </c>
      <c r="B15" s="190" t="s">
        <v>74</v>
      </c>
      <c r="C15" s="190" t="s">
        <v>95</v>
      </c>
      <c r="D15" s="191">
        <v>10300</v>
      </c>
      <c r="E15" s="192">
        <v>10000</v>
      </c>
      <c r="F15" s="193">
        <f t="shared" si="0"/>
        <v>8200</v>
      </c>
      <c r="G15" s="194">
        <f t="shared" si="1"/>
        <v>8500</v>
      </c>
      <c r="H15" s="195">
        <f t="shared" si="2"/>
        <v>9000</v>
      </c>
      <c r="I15" s="192">
        <f t="shared" si="3"/>
        <v>9500</v>
      </c>
      <c r="J15" s="196"/>
      <c r="K15" s="196"/>
      <c r="L15" s="198" t="str">
        <f>IFERROR(VLOOKUP(#REF!,'[3]0-LPM'!$A$6:$D$10668,4,0),"")</f>
        <v/>
      </c>
      <c r="M15" s="188"/>
      <c r="N15" s="198">
        <f>IFERROR(VLOOKUP(A15,'[3]0-LPM'!$A$6:$D$10668,4,0),"")</f>
        <v>6409.2031999999999</v>
      </c>
      <c r="O15" s="190"/>
    </row>
    <row r="16" spans="1:15" ht="12.2" customHeight="1" x14ac:dyDescent="0.25">
      <c r="A16" s="189" t="s">
        <v>96</v>
      </c>
      <c r="B16" s="190" t="s">
        <v>74</v>
      </c>
      <c r="C16" s="190" t="s">
        <v>97</v>
      </c>
      <c r="D16" s="191">
        <v>8000</v>
      </c>
      <c r="E16" s="192">
        <v>3400</v>
      </c>
      <c r="F16" s="193">
        <f t="shared" si="0"/>
        <v>2790</v>
      </c>
      <c r="G16" s="194">
        <f t="shared" si="1"/>
        <v>2890</v>
      </c>
      <c r="H16" s="195">
        <f t="shared" si="2"/>
        <v>3060</v>
      </c>
      <c r="I16" s="192">
        <f t="shared" si="3"/>
        <v>3230</v>
      </c>
      <c r="J16" s="196"/>
      <c r="K16" s="196"/>
      <c r="L16" s="198" t="str">
        <f>IFERROR(VLOOKUP(#REF!,'[3]0-LPM'!$A$6:$D$10668,4,0),"")</f>
        <v/>
      </c>
      <c r="M16" s="188"/>
      <c r="N16" s="198">
        <f>IFERROR(VLOOKUP(A16,'[3]0-LPM'!$A$6:$D$10668,4,0),"")</f>
        <v>563.85756249999997</v>
      </c>
      <c r="O16" s="190"/>
    </row>
    <row r="17" spans="1:15" ht="12.2" customHeight="1" x14ac:dyDescent="0.25">
      <c r="A17" s="189" t="s">
        <v>98</v>
      </c>
      <c r="B17" s="190" t="s">
        <v>74</v>
      </c>
      <c r="C17" s="190" t="s">
        <v>99</v>
      </c>
      <c r="D17" s="191">
        <v>2000</v>
      </c>
      <c r="E17" s="192">
        <v>1300</v>
      </c>
      <c r="F17" s="193">
        <f t="shared" si="0"/>
        <v>1070</v>
      </c>
      <c r="G17" s="194">
        <f t="shared" si="1"/>
        <v>1110</v>
      </c>
      <c r="H17" s="195">
        <f t="shared" si="2"/>
        <v>1170</v>
      </c>
      <c r="I17" s="192">
        <f t="shared" si="3"/>
        <v>1240</v>
      </c>
      <c r="J17" s="196"/>
      <c r="K17" s="196"/>
      <c r="L17" s="198" t="str">
        <f>IFERROR(VLOOKUP(#REF!,'[3]0-LPM'!$A$6:$D$10668,4,0),"")</f>
        <v/>
      </c>
      <c r="M17" s="188"/>
      <c r="N17" s="198">
        <f>IFERROR(VLOOKUP(A17,'[3]0-LPM'!$A$6:$D$10668,4,0),"")</f>
        <v>306.67703749999998</v>
      </c>
      <c r="O17" s="190"/>
    </row>
    <row r="18" spans="1:15" ht="12.2" customHeight="1" x14ac:dyDescent="0.25">
      <c r="A18" s="189" t="s">
        <v>100</v>
      </c>
      <c r="B18" s="190" t="s">
        <v>74</v>
      </c>
      <c r="C18" s="190" t="s">
        <v>101</v>
      </c>
      <c r="D18" s="191">
        <v>9500</v>
      </c>
      <c r="E18" s="192">
        <v>3200</v>
      </c>
      <c r="F18" s="193">
        <f t="shared" si="0"/>
        <v>2620</v>
      </c>
      <c r="G18" s="194">
        <f t="shared" si="1"/>
        <v>2720</v>
      </c>
      <c r="H18" s="195">
        <f t="shared" si="2"/>
        <v>2880</v>
      </c>
      <c r="I18" s="192">
        <f t="shared" si="3"/>
        <v>3040</v>
      </c>
      <c r="J18" s="196"/>
      <c r="K18" s="196"/>
      <c r="L18" s="198" t="str">
        <f>IFERROR(VLOOKUP(#REF!,'[3]0-LPM'!$A$6:$D$10668,4,0),"")</f>
        <v/>
      </c>
      <c r="M18" s="188"/>
      <c r="N18" s="198">
        <f>IFERROR(VLOOKUP(A18,'[3]0-LPM'!$A$6:$D$10668,4,0),"")</f>
        <v>1351.7266444444444</v>
      </c>
      <c r="O18" s="190"/>
    </row>
    <row r="19" spans="1:15" ht="12.2" customHeight="1" x14ac:dyDescent="0.25">
      <c r="A19" s="189" t="s">
        <v>102</v>
      </c>
      <c r="B19" s="190" t="s">
        <v>74</v>
      </c>
      <c r="C19" s="190" t="s">
        <v>103</v>
      </c>
      <c r="D19" s="191">
        <v>9500</v>
      </c>
      <c r="E19" s="192">
        <v>4300</v>
      </c>
      <c r="F19" s="193">
        <f t="shared" si="0"/>
        <v>3530</v>
      </c>
      <c r="G19" s="194">
        <f t="shared" si="1"/>
        <v>3660</v>
      </c>
      <c r="H19" s="195">
        <f t="shared" si="2"/>
        <v>3870</v>
      </c>
      <c r="I19" s="192">
        <f t="shared" si="3"/>
        <v>4090</v>
      </c>
      <c r="J19" s="196"/>
      <c r="K19" s="196"/>
      <c r="L19" s="198" t="str">
        <f>IFERROR(VLOOKUP(#REF!,'[3]0-LPM'!$A$6:$D$10668,4,0),"")</f>
        <v/>
      </c>
      <c r="M19" s="188"/>
      <c r="N19" s="198">
        <f>IFERROR(VLOOKUP(A19,'[3]0-LPM'!$A$6:$D$10668,4,0),"")</f>
        <v>1351.7266444444444</v>
      </c>
      <c r="O19" s="190"/>
    </row>
    <row r="20" spans="1:15" ht="12.2" customHeight="1" x14ac:dyDescent="0.25">
      <c r="A20" s="189" t="s">
        <v>104</v>
      </c>
      <c r="B20" s="190" t="s">
        <v>74</v>
      </c>
      <c r="C20" s="190" t="s">
        <v>105</v>
      </c>
      <c r="D20" s="191">
        <v>4700</v>
      </c>
      <c r="E20" s="192">
        <v>1400</v>
      </c>
      <c r="F20" s="193">
        <f t="shared" si="0"/>
        <v>1150</v>
      </c>
      <c r="G20" s="194">
        <f t="shared" si="1"/>
        <v>1190</v>
      </c>
      <c r="H20" s="195">
        <f t="shared" si="2"/>
        <v>1260</v>
      </c>
      <c r="I20" s="192">
        <f t="shared" si="3"/>
        <v>1330</v>
      </c>
      <c r="J20" s="196"/>
      <c r="K20" s="196"/>
      <c r="L20" s="198" t="str">
        <f>IFERROR(VLOOKUP(#REF!,'[3]0-LPM'!$A$6:$D$10668,4,0),"")</f>
        <v/>
      </c>
      <c r="M20" s="188"/>
      <c r="N20" s="198">
        <f>IFERROR(VLOOKUP(A20,'[3]0-LPM'!$A$6:$D$10668,4,0),"")</f>
        <v>0</v>
      </c>
      <c r="O20" s="190"/>
    </row>
    <row r="21" spans="1:15" ht="12.2" customHeight="1" x14ac:dyDescent="0.25">
      <c r="A21" s="189" t="s">
        <v>106</v>
      </c>
      <c r="B21" s="190" t="s">
        <v>74</v>
      </c>
      <c r="C21" s="190" t="s">
        <v>107</v>
      </c>
      <c r="D21" s="191">
        <v>8700</v>
      </c>
      <c r="E21" s="192">
        <v>4000</v>
      </c>
      <c r="F21" s="193">
        <f t="shared" si="0"/>
        <v>3280</v>
      </c>
      <c r="G21" s="194">
        <f t="shared" si="1"/>
        <v>3400</v>
      </c>
      <c r="H21" s="195">
        <f t="shared" si="2"/>
        <v>3600</v>
      </c>
      <c r="I21" s="192">
        <f t="shared" si="3"/>
        <v>3800</v>
      </c>
      <c r="J21" s="196"/>
      <c r="K21" s="196"/>
      <c r="L21" s="198" t="str">
        <f>IFERROR(VLOOKUP(#REF!,'[3]0-LPM'!$A$6:$D$10668,4,0),"")</f>
        <v/>
      </c>
      <c r="M21" s="188"/>
      <c r="N21" s="198">
        <f>IFERROR(VLOOKUP(A21,'[3]0-LPM'!$A$6:$D$10668,4,0),"")</f>
        <v>981.42340000000002</v>
      </c>
      <c r="O21" s="190"/>
    </row>
    <row r="22" spans="1:15" ht="12.2" customHeight="1" x14ac:dyDescent="0.25">
      <c r="A22" s="189" t="s">
        <v>52</v>
      </c>
      <c r="B22" s="190" t="s">
        <v>74</v>
      </c>
      <c r="C22" s="190" t="s">
        <v>53</v>
      </c>
      <c r="D22" s="191">
        <v>8700</v>
      </c>
      <c r="E22" s="192">
        <v>4700</v>
      </c>
      <c r="F22" s="193">
        <f t="shared" si="0"/>
        <v>3850</v>
      </c>
      <c r="G22" s="194">
        <f t="shared" si="1"/>
        <v>4000</v>
      </c>
      <c r="H22" s="195">
        <f t="shared" si="2"/>
        <v>4230</v>
      </c>
      <c r="I22" s="192">
        <f t="shared" si="3"/>
        <v>4470</v>
      </c>
      <c r="J22" s="196"/>
      <c r="K22" s="196"/>
      <c r="L22" s="198" t="str">
        <f>IFERROR(VLOOKUP(#REF!,'[3]0-LPM'!$A$6:$D$10668,4,0),"")</f>
        <v/>
      </c>
      <c r="M22" s="188"/>
      <c r="N22" s="198">
        <f>IFERROR(VLOOKUP(A22,'[3]0-LPM'!$A$6:$D$10668,4,0),"")</f>
        <v>981.42340000000002</v>
      </c>
      <c r="O22" s="190"/>
    </row>
    <row r="23" spans="1:15" ht="12.2" customHeight="1" x14ac:dyDescent="0.25">
      <c r="A23" s="189" t="s">
        <v>108</v>
      </c>
      <c r="B23" s="190" t="s">
        <v>74</v>
      </c>
      <c r="C23" s="190" t="s">
        <v>109</v>
      </c>
      <c r="D23" s="191">
        <v>4700</v>
      </c>
      <c r="E23" s="192">
        <v>2800</v>
      </c>
      <c r="F23" s="193">
        <f t="shared" si="0"/>
        <v>2300</v>
      </c>
      <c r="G23" s="194">
        <f t="shared" si="1"/>
        <v>2380</v>
      </c>
      <c r="H23" s="195">
        <f t="shared" si="2"/>
        <v>2520</v>
      </c>
      <c r="I23" s="192">
        <f t="shared" si="3"/>
        <v>2660</v>
      </c>
      <c r="J23" s="196"/>
      <c r="K23" s="196"/>
      <c r="L23" s="198" t="str">
        <f>IFERROR(VLOOKUP(#REF!,'[3]0-LPM'!$A$6:$D$10668,4,0),"")</f>
        <v/>
      </c>
      <c r="M23" s="188"/>
      <c r="N23" s="198">
        <f>IFERROR(VLOOKUP(A23,'[3]0-LPM'!$A$6:$D$10668,4,0),"")</f>
        <v>676.49365277777781</v>
      </c>
      <c r="O23" s="190"/>
    </row>
    <row r="24" spans="1:15" ht="12.2" customHeight="1" x14ac:dyDescent="0.25">
      <c r="A24" s="189" t="s">
        <v>110</v>
      </c>
      <c r="B24" s="190" t="s">
        <v>74</v>
      </c>
      <c r="C24" s="190" t="s">
        <v>111</v>
      </c>
      <c r="D24" s="191">
        <v>4700</v>
      </c>
      <c r="E24" s="192">
        <v>2800</v>
      </c>
      <c r="F24" s="193">
        <f t="shared" si="0"/>
        <v>2300</v>
      </c>
      <c r="G24" s="194">
        <f t="shared" si="1"/>
        <v>2380</v>
      </c>
      <c r="H24" s="195">
        <f t="shared" si="2"/>
        <v>2520</v>
      </c>
      <c r="I24" s="192">
        <f t="shared" si="3"/>
        <v>2660</v>
      </c>
      <c r="J24" s="196"/>
      <c r="K24" s="196"/>
      <c r="L24" s="198" t="str">
        <f>IFERROR(VLOOKUP(#REF!,'[3]0-LPM'!$A$6:$D$10668,4,0),"")</f>
        <v/>
      </c>
      <c r="M24" s="188"/>
      <c r="N24" s="198">
        <f>IFERROR(VLOOKUP(A24,'[3]0-LPM'!$A$6:$D$10668,4,0),"")</f>
        <v>676.49365277777781</v>
      </c>
      <c r="O24" s="190"/>
    </row>
    <row r="25" spans="1:15" ht="12.2" customHeight="1" x14ac:dyDescent="0.25">
      <c r="A25" s="189" t="s">
        <v>112</v>
      </c>
      <c r="B25" s="190" t="s">
        <v>74</v>
      </c>
      <c r="C25" s="190" t="s">
        <v>113</v>
      </c>
      <c r="D25" s="191">
        <v>4700</v>
      </c>
      <c r="E25" s="192">
        <v>2800</v>
      </c>
      <c r="F25" s="193">
        <f t="shared" si="0"/>
        <v>2300</v>
      </c>
      <c r="G25" s="194">
        <f t="shared" si="1"/>
        <v>2380</v>
      </c>
      <c r="H25" s="195">
        <f t="shared" si="2"/>
        <v>2520</v>
      </c>
      <c r="I25" s="192">
        <f t="shared" si="3"/>
        <v>2660</v>
      </c>
      <c r="J25" s="196"/>
      <c r="K25" s="196"/>
      <c r="L25" s="198" t="str">
        <f>IFERROR(VLOOKUP(#REF!,'[3]0-LPM'!$A$6:$D$10668,4,0),"")</f>
        <v/>
      </c>
      <c r="M25" s="188"/>
      <c r="N25" s="198">
        <f>IFERROR(VLOOKUP(A25,'[3]0-LPM'!$A$6:$D$10668,4,0),"")</f>
        <v>676.49365277777781</v>
      </c>
      <c r="O25" s="190"/>
    </row>
    <row r="26" spans="1:15" ht="12.2" customHeight="1" x14ac:dyDescent="0.25">
      <c r="A26" s="189" t="s">
        <v>114</v>
      </c>
      <c r="B26" s="190" t="s">
        <v>74</v>
      </c>
      <c r="C26" s="190" t="s">
        <v>115</v>
      </c>
      <c r="D26" s="191">
        <v>4700</v>
      </c>
      <c r="E26" s="192">
        <v>2800</v>
      </c>
      <c r="F26" s="193">
        <f t="shared" si="0"/>
        <v>2300</v>
      </c>
      <c r="G26" s="194">
        <f t="shared" si="1"/>
        <v>2380</v>
      </c>
      <c r="H26" s="195">
        <f t="shared" si="2"/>
        <v>2520</v>
      </c>
      <c r="I26" s="192">
        <f t="shared" si="3"/>
        <v>2660</v>
      </c>
      <c r="J26" s="196"/>
      <c r="K26" s="196"/>
      <c r="L26" s="198" t="str">
        <f>IFERROR(VLOOKUP(#REF!,'[3]0-LPM'!$A$6:$D$10668,4,0),"")</f>
        <v/>
      </c>
      <c r="M26" s="188"/>
      <c r="N26" s="198">
        <f>IFERROR(VLOOKUP(A26,'[3]0-LPM'!$A$6:$D$10668,4,0),"")</f>
        <v>676.49365277777781</v>
      </c>
      <c r="O26" s="190"/>
    </row>
    <row r="27" spans="1:15" ht="12.2" customHeight="1" x14ac:dyDescent="0.25">
      <c r="A27" s="199" t="s">
        <v>116</v>
      </c>
      <c r="B27" s="190" t="s">
        <v>74</v>
      </c>
      <c r="C27" s="190" t="s">
        <v>117</v>
      </c>
      <c r="D27" s="191">
        <v>10700</v>
      </c>
      <c r="E27" s="192">
        <v>3200</v>
      </c>
      <c r="F27" s="193">
        <f t="shared" si="0"/>
        <v>2620</v>
      </c>
      <c r="G27" s="194">
        <f t="shared" si="1"/>
        <v>2720</v>
      </c>
      <c r="H27" s="195">
        <f t="shared" si="2"/>
        <v>2880</v>
      </c>
      <c r="I27" s="192">
        <f t="shared" si="3"/>
        <v>3040</v>
      </c>
      <c r="J27" s="196"/>
      <c r="K27" s="196"/>
      <c r="L27" s="198" t="str">
        <f>IFERROR(VLOOKUP(#REF!,'[3]0-LPM'!$A$6:$D$10668,4,0),"")</f>
        <v/>
      </c>
      <c r="M27" s="188"/>
      <c r="N27" s="198">
        <f>IFERROR(VLOOKUP(A27,'[3]0-LPM'!$A$6:$D$10668,4,0),"")</f>
        <v>1351.7266444444444</v>
      </c>
      <c r="O27" s="190"/>
    </row>
    <row r="28" spans="1:15" ht="12.2" customHeight="1" x14ac:dyDescent="0.25">
      <c r="A28" s="199" t="s">
        <v>118</v>
      </c>
      <c r="B28" s="190" t="s">
        <v>74</v>
      </c>
      <c r="C28" s="190" t="s">
        <v>119</v>
      </c>
      <c r="D28" s="191">
        <v>10700</v>
      </c>
      <c r="E28" s="192">
        <v>3200</v>
      </c>
      <c r="F28" s="193">
        <f t="shared" si="0"/>
        <v>2620</v>
      </c>
      <c r="G28" s="194">
        <f t="shared" si="1"/>
        <v>2720</v>
      </c>
      <c r="H28" s="195">
        <f t="shared" si="2"/>
        <v>2880</v>
      </c>
      <c r="I28" s="192">
        <f t="shared" si="3"/>
        <v>3040</v>
      </c>
      <c r="J28" s="196"/>
      <c r="K28" s="196"/>
      <c r="L28" s="198" t="str">
        <f>IFERROR(VLOOKUP(#REF!,'[3]0-LPM'!$A$6:$D$10668,4,0),"")</f>
        <v/>
      </c>
      <c r="M28" s="188"/>
      <c r="N28" s="198">
        <f>IFERROR(VLOOKUP(A28,'[3]0-LPM'!$A$6:$D$10668,4,0),"")</f>
        <v>1351.7266444444444</v>
      </c>
      <c r="O28" s="190"/>
    </row>
    <row r="29" spans="1:15" ht="12.2" customHeight="1" x14ac:dyDescent="0.25">
      <c r="A29" s="189" t="s">
        <v>120</v>
      </c>
      <c r="B29" s="190" t="s">
        <v>74</v>
      </c>
      <c r="C29" s="190" t="s">
        <v>121</v>
      </c>
      <c r="D29" s="191">
        <v>13400</v>
      </c>
      <c r="E29" s="192">
        <v>8400</v>
      </c>
      <c r="F29" s="193">
        <f t="shared" si="0"/>
        <v>6890</v>
      </c>
      <c r="G29" s="194">
        <f t="shared" si="1"/>
        <v>7140</v>
      </c>
      <c r="H29" s="195">
        <f t="shared" si="2"/>
        <v>7560</v>
      </c>
      <c r="I29" s="192">
        <f t="shared" si="3"/>
        <v>7980</v>
      </c>
      <c r="J29" s="196"/>
      <c r="K29" s="196"/>
      <c r="L29" s="198" t="str">
        <f>IFERROR(VLOOKUP(#REF!,'[3]0-LPM'!$A$6:$D$10668,4,0),"")</f>
        <v/>
      </c>
      <c r="M29" s="188"/>
      <c r="N29" s="198">
        <f>IFERROR(VLOOKUP(A29,'[3]0-LPM'!$A$6:$D$10668,4,0),"")</f>
        <v>1689.6583055555557</v>
      </c>
      <c r="O29" s="190"/>
    </row>
    <row r="30" spans="1:15" ht="12.2" customHeight="1" x14ac:dyDescent="0.25">
      <c r="A30" s="189" t="s">
        <v>122</v>
      </c>
      <c r="B30" s="190" t="s">
        <v>74</v>
      </c>
      <c r="C30" s="190" t="s">
        <v>123</v>
      </c>
      <c r="D30" s="191">
        <v>13400</v>
      </c>
      <c r="E30" s="192">
        <v>8400</v>
      </c>
      <c r="F30" s="193">
        <f t="shared" si="0"/>
        <v>6890</v>
      </c>
      <c r="G30" s="194">
        <f t="shared" si="1"/>
        <v>7140</v>
      </c>
      <c r="H30" s="195">
        <f t="shared" si="2"/>
        <v>7560</v>
      </c>
      <c r="I30" s="192">
        <f t="shared" si="3"/>
        <v>7980</v>
      </c>
      <c r="J30" s="196"/>
      <c r="K30" s="196"/>
      <c r="L30" s="198" t="str">
        <f>IFERROR(VLOOKUP(#REF!,'[3]0-LPM'!$A$6:$D$10668,4,0),"")</f>
        <v/>
      </c>
      <c r="M30" s="188"/>
      <c r="N30" s="198">
        <f>IFERROR(VLOOKUP(A30,'[3]0-LPM'!$A$6:$D$10668,4,0),"")</f>
        <v>1689.6583055555557</v>
      </c>
      <c r="O30" s="190"/>
    </row>
    <row r="31" spans="1:15" ht="12.2" customHeight="1" x14ac:dyDescent="0.25">
      <c r="A31" s="199" t="s">
        <v>124</v>
      </c>
      <c r="B31" s="190" t="s">
        <v>74</v>
      </c>
      <c r="C31" s="190" t="s">
        <v>125</v>
      </c>
      <c r="D31" s="191">
        <v>13400</v>
      </c>
      <c r="E31" s="192">
        <v>8400</v>
      </c>
      <c r="F31" s="193">
        <f t="shared" si="0"/>
        <v>6890</v>
      </c>
      <c r="G31" s="194">
        <f t="shared" si="1"/>
        <v>7140</v>
      </c>
      <c r="H31" s="195">
        <f t="shared" si="2"/>
        <v>7560</v>
      </c>
      <c r="I31" s="192">
        <f t="shared" si="3"/>
        <v>7980</v>
      </c>
      <c r="J31" s="196"/>
      <c r="K31" s="196"/>
      <c r="L31" s="198" t="str">
        <f>IFERROR(VLOOKUP(#REF!,'[3]0-LPM'!$A$6:$D$10668,4,0),"")</f>
        <v/>
      </c>
      <c r="M31" s="188"/>
      <c r="N31" s="198" t="str">
        <f>IFERROR(VLOOKUP(A31,'[3]0-LPM'!$A$6:$D$10668,4,0),"")</f>
        <v/>
      </c>
      <c r="O31" s="190"/>
    </row>
    <row r="32" spans="1:15" ht="12.2" customHeight="1" x14ac:dyDescent="0.25">
      <c r="A32" s="199" t="s">
        <v>126</v>
      </c>
      <c r="B32" s="190" t="s">
        <v>74</v>
      </c>
      <c r="C32" s="190" t="s">
        <v>127</v>
      </c>
      <c r="D32" s="191">
        <v>13400</v>
      </c>
      <c r="E32" s="192">
        <v>8400</v>
      </c>
      <c r="F32" s="193">
        <f t="shared" si="0"/>
        <v>6890</v>
      </c>
      <c r="G32" s="194">
        <f t="shared" si="1"/>
        <v>7140</v>
      </c>
      <c r="H32" s="195">
        <f t="shared" si="2"/>
        <v>7560</v>
      </c>
      <c r="I32" s="192">
        <f t="shared" si="3"/>
        <v>7980</v>
      </c>
      <c r="J32" s="196"/>
      <c r="K32" s="196"/>
      <c r="L32" s="198" t="str">
        <f>IFERROR(VLOOKUP(#REF!,'[3]0-LPM'!$A$6:$D$10668,4,0),"")</f>
        <v/>
      </c>
      <c r="M32" s="188"/>
      <c r="N32" s="198" t="str">
        <f>IFERROR(VLOOKUP(A32,'[3]0-LPM'!$A$6:$D$10668,4,0),"")</f>
        <v/>
      </c>
      <c r="O32" s="190"/>
    </row>
    <row r="33" spans="1:15" ht="12.2" customHeight="1" x14ac:dyDescent="0.25">
      <c r="A33" s="189" t="s">
        <v>128</v>
      </c>
      <c r="B33" s="190" t="s">
        <v>74</v>
      </c>
      <c r="C33" s="190" t="s">
        <v>129</v>
      </c>
      <c r="D33" s="191">
        <v>8700</v>
      </c>
      <c r="E33" s="192">
        <v>7600</v>
      </c>
      <c r="F33" s="193">
        <f t="shared" si="0"/>
        <v>6230</v>
      </c>
      <c r="G33" s="194">
        <f t="shared" si="1"/>
        <v>6460</v>
      </c>
      <c r="H33" s="195">
        <f t="shared" si="2"/>
        <v>6840</v>
      </c>
      <c r="I33" s="192">
        <f t="shared" si="3"/>
        <v>7220</v>
      </c>
      <c r="J33" s="196"/>
      <c r="K33" s="196"/>
      <c r="L33" s="198" t="str">
        <f>IFERROR(VLOOKUP(#REF!,'[3]0-LPM'!$A$6:$D$10668,4,0),"")</f>
        <v/>
      </c>
      <c r="M33" s="188"/>
      <c r="N33" s="198" t="str">
        <f>IFERROR(VLOOKUP(A33,'[3]0-LPM'!$A$6:$D$10668,4,0),"")</f>
        <v/>
      </c>
      <c r="O33" s="190"/>
    </row>
    <row r="34" spans="1:15" ht="12.2" customHeight="1" x14ac:dyDescent="0.25">
      <c r="A34" s="189" t="s">
        <v>130</v>
      </c>
      <c r="B34" s="190" t="s">
        <v>74</v>
      </c>
      <c r="C34" s="190" t="s">
        <v>131</v>
      </c>
      <c r="D34" s="191">
        <v>10000</v>
      </c>
      <c r="E34" s="192">
        <v>8800</v>
      </c>
      <c r="F34" s="193">
        <f t="shared" si="0"/>
        <v>7220</v>
      </c>
      <c r="G34" s="194">
        <f t="shared" si="1"/>
        <v>7480</v>
      </c>
      <c r="H34" s="195">
        <f t="shared" si="2"/>
        <v>7920</v>
      </c>
      <c r="I34" s="192">
        <f t="shared" si="3"/>
        <v>8360</v>
      </c>
      <c r="J34" s="196"/>
      <c r="K34" s="196"/>
      <c r="L34" s="198" t="str">
        <f>IFERROR(VLOOKUP(#REF!,'[3]0-LPM'!$A$6:$D$10668,4,0),"")</f>
        <v/>
      </c>
      <c r="M34" s="188"/>
      <c r="N34" s="198" t="str">
        <f>IFERROR(VLOOKUP(A34,'[3]0-LPM'!$A$6:$D$10668,4,0),"")</f>
        <v/>
      </c>
      <c r="O34" s="190"/>
    </row>
    <row r="35" spans="1:15" ht="12.2" customHeight="1" x14ac:dyDescent="0.25">
      <c r="A35" s="189" t="s">
        <v>132</v>
      </c>
      <c r="B35" s="190" t="s">
        <v>74</v>
      </c>
      <c r="C35" s="190" t="s">
        <v>133</v>
      </c>
      <c r="D35" s="191">
        <v>8700</v>
      </c>
      <c r="E35" s="192">
        <v>7600</v>
      </c>
      <c r="F35" s="193">
        <f t="shared" si="0"/>
        <v>6230</v>
      </c>
      <c r="G35" s="194">
        <f t="shared" si="1"/>
        <v>6460</v>
      </c>
      <c r="H35" s="195">
        <f t="shared" si="2"/>
        <v>6840</v>
      </c>
      <c r="I35" s="192">
        <f t="shared" si="3"/>
        <v>7220</v>
      </c>
      <c r="J35" s="196"/>
      <c r="K35" s="196"/>
      <c r="L35" s="198" t="str">
        <f>IFERROR(VLOOKUP(#REF!,'[3]0-LPM'!$A$6:$D$10668,4,0),"")</f>
        <v/>
      </c>
      <c r="M35" s="188"/>
      <c r="N35" s="198" t="str">
        <f>IFERROR(VLOOKUP(A35,'[3]0-LPM'!$A$6:$D$10668,4,0),"")</f>
        <v/>
      </c>
      <c r="O35" s="190"/>
    </row>
    <row r="36" spans="1:15" ht="12.2" customHeight="1" x14ac:dyDescent="0.25">
      <c r="A36" s="189" t="s">
        <v>134</v>
      </c>
      <c r="B36" s="190" t="s">
        <v>74</v>
      </c>
      <c r="C36" s="190" t="s">
        <v>135</v>
      </c>
      <c r="D36" s="191"/>
      <c r="E36" s="192">
        <v>6100</v>
      </c>
      <c r="F36" s="193">
        <f t="shared" si="0"/>
        <v>5000</v>
      </c>
      <c r="G36" s="194">
        <f t="shared" si="1"/>
        <v>5190</v>
      </c>
      <c r="H36" s="195">
        <f t="shared" si="2"/>
        <v>5490</v>
      </c>
      <c r="I36" s="192">
        <f t="shared" si="3"/>
        <v>5800</v>
      </c>
      <c r="J36" s="196"/>
      <c r="K36" s="196"/>
      <c r="L36" s="198"/>
      <c r="M36" s="188"/>
      <c r="N36" s="198"/>
      <c r="O36" s="190"/>
    </row>
    <row r="37" spans="1:15" ht="12.2" customHeight="1" x14ac:dyDescent="0.25">
      <c r="A37" s="189" t="s">
        <v>136</v>
      </c>
      <c r="B37" s="190" t="s">
        <v>74</v>
      </c>
      <c r="C37" s="190" t="s">
        <v>137</v>
      </c>
      <c r="D37" s="191"/>
      <c r="E37" s="192">
        <v>5490</v>
      </c>
      <c r="F37" s="193">
        <f t="shared" si="0"/>
        <v>4500</v>
      </c>
      <c r="G37" s="194">
        <f t="shared" si="1"/>
        <v>4670</v>
      </c>
      <c r="H37" s="195">
        <f t="shared" si="2"/>
        <v>4940</v>
      </c>
      <c r="I37" s="192">
        <f t="shared" si="3"/>
        <v>5220</v>
      </c>
      <c r="J37" s="196"/>
      <c r="K37" s="196"/>
      <c r="L37" s="198"/>
      <c r="M37" s="188"/>
      <c r="N37" s="198"/>
      <c r="O37" s="190"/>
    </row>
    <row r="38" spans="1:15" ht="12.2" customHeight="1" x14ac:dyDescent="0.25">
      <c r="A38" s="189" t="s">
        <v>138</v>
      </c>
      <c r="B38" s="190" t="s">
        <v>74</v>
      </c>
      <c r="C38" s="190" t="s">
        <v>139</v>
      </c>
      <c r="D38" s="191"/>
      <c r="E38" s="192">
        <v>4880</v>
      </c>
      <c r="F38" s="193">
        <f t="shared" si="0"/>
        <v>4000</v>
      </c>
      <c r="G38" s="194">
        <f t="shared" si="1"/>
        <v>4150</v>
      </c>
      <c r="H38" s="195">
        <f t="shared" si="2"/>
        <v>4390</v>
      </c>
      <c r="I38" s="192">
        <f t="shared" si="3"/>
        <v>4640</v>
      </c>
      <c r="J38" s="196"/>
      <c r="K38" s="196"/>
      <c r="L38" s="198"/>
      <c r="M38" s="188"/>
      <c r="N38" s="198"/>
      <c r="O38" s="190"/>
    </row>
    <row r="39" spans="1:15" ht="12.2" customHeight="1" x14ac:dyDescent="0.25">
      <c r="A39" s="201"/>
      <c r="B39" s="202"/>
      <c r="C39" s="203" t="s">
        <v>140</v>
      </c>
      <c r="D39" s="191">
        <v>0</v>
      </c>
      <c r="E39" s="192">
        <v>0</v>
      </c>
      <c r="F39" s="193">
        <f t="shared" si="0"/>
        <v>0</v>
      </c>
      <c r="G39" s="194">
        <f t="shared" si="1"/>
        <v>0</v>
      </c>
      <c r="H39" s="195">
        <f t="shared" si="2"/>
        <v>0</v>
      </c>
      <c r="I39" s="192">
        <f t="shared" si="3"/>
        <v>0</v>
      </c>
      <c r="J39" s="196"/>
      <c r="K39" s="196"/>
      <c r="L39" s="198" t="str">
        <f>IFERROR(VLOOKUP(#REF!,'[3]0-LPM'!$A$6:$D$10668,4,0),"")</f>
        <v/>
      </c>
      <c r="M39" s="188"/>
      <c r="N39" s="198" t="str">
        <f>IFERROR(VLOOKUP(A39,'[3]0-LPM'!$A$6:$D$10668,4,0),"")</f>
        <v/>
      </c>
      <c r="O39" s="203"/>
    </row>
    <row r="40" spans="1:15" ht="12.2" customHeight="1" x14ac:dyDescent="0.25">
      <c r="A40" s="189" t="s">
        <v>141</v>
      </c>
      <c r="B40" s="190" t="s">
        <v>74</v>
      </c>
      <c r="C40" s="190" t="s">
        <v>142</v>
      </c>
      <c r="D40" s="191">
        <v>0</v>
      </c>
      <c r="E40" s="192">
        <v>8400</v>
      </c>
      <c r="F40" s="193">
        <f t="shared" si="0"/>
        <v>6890</v>
      </c>
      <c r="G40" s="194">
        <f t="shared" si="1"/>
        <v>7140</v>
      </c>
      <c r="H40" s="195">
        <f t="shared" si="2"/>
        <v>7560</v>
      </c>
      <c r="I40" s="192">
        <f t="shared" si="3"/>
        <v>7980</v>
      </c>
      <c r="J40" s="196"/>
      <c r="K40" s="196"/>
      <c r="L40" s="198" t="str">
        <f>IFERROR(VLOOKUP(#REF!,'[3]0-LPM'!$A$6:$D$10668,4,0),"")</f>
        <v/>
      </c>
      <c r="M40" s="188"/>
      <c r="N40" s="198" t="str">
        <f>IFERROR(VLOOKUP(A40,'[3]0-LPM'!$A$6:$D$10668,4,0),"")</f>
        <v/>
      </c>
      <c r="O40" s="190"/>
    </row>
    <row r="41" spans="1:15" ht="12.2" customHeight="1" x14ac:dyDescent="0.25">
      <c r="A41" s="189" t="s">
        <v>143</v>
      </c>
      <c r="B41" s="190" t="s">
        <v>74</v>
      </c>
      <c r="C41" s="190" t="s">
        <v>144</v>
      </c>
      <c r="D41" s="191">
        <v>0</v>
      </c>
      <c r="E41" s="192">
        <v>1900</v>
      </c>
      <c r="F41" s="193">
        <f t="shared" si="0"/>
        <v>1560</v>
      </c>
      <c r="G41" s="194">
        <f t="shared" si="1"/>
        <v>1620</v>
      </c>
      <c r="H41" s="195">
        <f t="shared" si="2"/>
        <v>1710</v>
      </c>
      <c r="I41" s="192">
        <f t="shared" si="3"/>
        <v>1810</v>
      </c>
      <c r="J41" s="196"/>
      <c r="K41" s="196"/>
      <c r="L41" s="198" t="str">
        <f>IFERROR(VLOOKUP(#REF!,'[3]0-LPM'!$A$6:$D$10668,4,0),"")</f>
        <v/>
      </c>
      <c r="M41" s="188"/>
      <c r="N41" s="198" t="str">
        <f>IFERROR(VLOOKUP(A41,'[3]0-LPM'!$A$6:$D$10668,4,0),"")</f>
        <v/>
      </c>
      <c r="O41" s="190"/>
    </row>
    <row r="42" spans="1:15" ht="12.2" customHeight="1" x14ac:dyDescent="0.25">
      <c r="A42" s="189" t="s">
        <v>145</v>
      </c>
      <c r="B42" s="190" t="s">
        <v>74</v>
      </c>
      <c r="C42" s="190" t="s">
        <v>146</v>
      </c>
      <c r="D42" s="191">
        <v>0</v>
      </c>
      <c r="E42" s="192">
        <v>7200</v>
      </c>
      <c r="F42" s="193">
        <f t="shared" si="0"/>
        <v>5900</v>
      </c>
      <c r="G42" s="194">
        <f t="shared" si="1"/>
        <v>6120</v>
      </c>
      <c r="H42" s="195">
        <f t="shared" si="2"/>
        <v>6480</v>
      </c>
      <c r="I42" s="192">
        <f t="shared" si="3"/>
        <v>6840</v>
      </c>
      <c r="J42" s="196"/>
      <c r="K42" s="196"/>
      <c r="L42" s="198" t="str">
        <f>IFERROR(VLOOKUP(#REF!,'[3]0-LPM'!$A$6:$D$10668,4,0),"")</f>
        <v/>
      </c>
      <c r="M42" s="188"/>
      <c r="N42" s="198" t="str">
        <f>IFERROR(VLOOKUP(A42,'[3]0-LPM'!$A$6:$D$10668,4,0),"")</f>
        <v/>
      </c>
      <c r="O42" s="190"/>
    </row>
    <row r="43" spans="1:15" ht="12.2" customHeight="1" x14ac:dyDescent="0.25">
      <c r="A43" s="189" t="s">
        <v>147</v>
      </c>
      <c r="B43" s="190" t="s">
        <v>74</v>
      </c>
      <c r="C43" s="190" t="s">
        <v>148</v>
      </c>
      <c r="D43" s="191">
        <v>0</v>
      </c>
      <c r="E43" s="192">
        <v>7200</v>
      </c>
      <c r="F43" s="193">
        <f t="shared" si="0"/>
        <v>5900</v>
      </c>
      <c r="G43" s="194">
        <f t="shared" si="1"/>
        <v>6120</v>
      </c>
      <c r="H43" s="195">
        <f t="shared" si="2"/>
        <v>6480</v>
      </c>
      <c r="I43" s="192">
        <f t="shared" si="3"/>
        <v>6840</v>
      </c>
      <c r="J43" s="196"/>
      <c r="K43" s="196"/>
      <c r="L43" s="198" t="str">
        <f>IFERROR(VLOOKUP(#REF!,'[3]0-LPM'!$A$6:$D$10668,4,0),"")</f>
        <v/>
      </c>
      <c r="M43" s="188"/>
      <c r="N43" s="198" t="str">
        <f>IFERROR(VLOOKUP(A43,'[3]0-LPM'!$A$6:$D$10668,4,0),"")</f>
        <v/>
      </c>
      <c r="O43" s="190"/>
    </row>
    <row r="44" spans="1:15" ht="12.2" customHeight="1" x14ac:dyDescent="0.25">
      <c r="A44" s="189" t="s">
        <v>149</v>
      </c>
      <c r="B44" s="190" t="s">
        <v>74</v>
      </c>
      <c r="C44" s="190" t="s">
        <v>150</v>
      </c>
      <c r="D44" s="191">
        <v>0</v>
      </c>
      <c r="E44" s="192">
        <v>4800</v>
      </c>
      <c r="F44" s="193">
        <f t="shared" si="0"/>
        <v>3940</v>
      </c>
      <c r="G44" s="194">
        <f t="shared" si="1"/>
        <v>4080</v>
      </c>
      <c r="H44" s="195">
        <f t="shared" si="2"/>
        <v>4320</v>
      </c>
      <c r="I44" s="192">
        <f t="shared" si="3"/>
        <v>4560</v>
      </c>
      <c r="J44" s="196"/>
      <c r="K44" s="196"/>
      <c r="L44" s="198" t="str">
        <f>IFERROR(VLOOKUP(#REF!,'[3]0-LPM'!$A$6:$D$10668,4,0),"")</f>
        <v/>
      </c>
      <c r="M44" s="188"/>
      <c r="N44" s="198" t="str">
        <f>IFERROR(VLOOKUP(A44,'[3]0-LPM'!$A$6:$D$10668,4,0),"")</f>
        <v/>
      </c>
      <c r="O44" s="190"/>
    </row>
    <row r="45" spans="1:15" ht="12.2" customHeight="1" x14ac:dyDescent="0.25">
      <c r="A45" s="189" t="s">
        <v>151</v>
      </c>
      <c r="B45" s="190" t="s">
        <v>74</v>
      </c>
      <c r="C45" s="190" t="s">
        <v>152</v>
      </c>
      <c r="D45" s="191">
        <v>0</v>
      </c>
      <c r="E45" s="192">
        <v>4400</v>
      </c>
      <c r="F45" s="193">
        <f t="shared" si="0"/>
        <v>3610</v>
      </c>
      <c r="G45" s="194">
        <f t="shared" si="1"/>
        <v>3740</v>
      </c>
      <c r="H45" s="195">
        <f t="shared" si="2"/>
        <v>3960</v>
      </c>
      <c r="I45" s="192">
        <f t="shared" si="3"/>
        <v>4180</v>
      </c>
      <c r="J45" s="196"/>
      <c r="K45" s="196"/>
      <c r="L45" s="198" t="str">
        <f>IFERROR(VLOOKUP(#REF!,'[3]0-LPM'!$A$6:$D$10668,4,0),"")</f>
        <v/>
      </c>
      <c r="M45" s="188"/>
      <c r="N45" s="198" t="str">
        <f>IFERROR(VLOOKUP(A45,'[3]0-LPM'!$A$6:$D$10668,4,0),"")</f>
        <v/>
      </c>
      <c r="O45" s="190"/>
    </row>
    <row r="46" spans="1:15" ht="12.2" customHeight="1" x14ac:dyDescent="0.25">
      <c r="A46" s="189" t="s">
        <v>153</v>
      </c>
      <c r="B46" s="190" t="s">
        <v>74</v>
      </c>
      <c r="C46" s="190" t="s">
        <v>154</v>
      </c>
      <c r="D46" s="191">
        <v>0</v>
      </c>
      <c r="E46" s="192">
        <v>4800</v>
      </c>
      <c r="F46" s="193">
        <f t="shared" si="0"/>
        <v>3940</v>
      </c>
      <c r="G46" s="194">
        <f t="shared" si="1"/>
        <v>4080</v>
      </c>
      <c r="H46" s="195">
        <f t="shared" si="2"/>
        <v>4320</v>
      </c>
      <c r="I46" s="192">
        <f t="shared" si="3"/>
        <v>4560</v>
      </c>
      <c r="J46" s="196"/>
      <c r="K46" s="196"/>
      <c r="L46" s="198" t="str">
        <f>IFERROR(VLOOKUP(#REF!,'[3]0-LPM'!$A$6:$D$10668,4,0),"")</f>
        <v/>
      </c>
      <c r="M46" s="188"/>
      <c r="N46" s="198" t="str">
        <f>IFERROR(VLOOKUP(A46,'[3]0-LPM'!$A$6:$D$10668,4,0),"")</f>
        <v/>
      </c>
      <c r="O46" s="190"/>
    </row>
    <row r="47" spans="1:15" ht="12.2" customHeight="1" x14ac:dyDescent="0.25">
      <c r="A47" s="189" t="s">
        <v>155</v>
      </c>
      <c r="B47" s="190" t="s">
        <v>74</v>
      </c>
      <c r="C47" s="190" t="s">
        <v>156</v>
      </c>
      <c r="D47" s="191">
        <v>0</v>
      </c>
      <c r="E47" s="192">
        <v>4400</v>
      </c>
      <c r="F47" s="193">
        <f t="shared" si="0"/>
        <v>3610</v>
      </c>
      <c r="G47" s="194">
        <f t="shared" si="1"/>
        <v>3740</v>
      </c>
      <c r="H47" s="195">
        <f t="shared" si="2"/>
        <v>3960</v>
      </c>
      <c r="I47" s="192">
        <f t="shared" si="3"/>
        <v>4180</v>
      </c>
      <c r="J47" s="196"/>
      <c r="K47" s="196"/>
      <c r="L47" s="198" t="str">
        <f>IFERROR(VLOOKUP(#REF!,'[3]0-LPM'!$A$6:$D$10668,4,0),"")</f>
        <v/>
      </c>
      <c r="M47" s="188"/>
      <c r="N47" s="198" t="str">
        <f>IFERROR(VLOOKUP(A47,'[3]0-LPM'!$A$6:$D$10668,4,0),"")</f>
        <v/>
      </c>
      <c r="O47" s="190"/>
    </row>
    <row r="48" spans="1:15" ht="12.2" customHeight="1" x14ac:dyDescent="0.25">
      <c r="A48" s="189" t="s">
        <v>157</v>
      </c>
      <c r="B48" s="190" t="s">
        <v>74</v>
      </c>
      <c r="C48" s="190" t="s">
        <v>158</v>
      </c>
      <c r="D48" s="191">
        <v>0</v>
      </c>
      <c r="E48" s="192">
        <v>4800</v>
      </c>
      <c r="F48" s="193">
        <f t="shared" si="0"/>
        <v>3940</v>
      </c>
      <c r="G48" s="194">
        <f t="shared" si="1"/>
        <v>4080</v>
      </c>
      <c r="H48" s="195">
        <f t="shared" si="2"/>
        <v>4320</v>
      </c>
      <c r="I48" s="192">
        <f t="shared" si="3"/>
        <v>4560</v>
      </c>
      <c r="J48" s="196"/>
      <c r="K48" s="196"/>
      <c r="L48" s="198" t="str">
        <f>IFERROR(VLOOKUP(#REF!,'[3]0-LPM'!$A$6:$D$10668,4,0),"")</f>
        <v/>
      </c>
      <c r="M48" s="188"/>
      <c r="N48" s="198" t="str">
        <f>IFERROR(VLOOKUP(A48,'[3]0-LPM'!$A$6:$D$10668,4,0),"")</f>
        <v/>
      </c>
      <c r="O48" s="190"/>
    </row>
    <row r="49" spans="1:15" ht="12.2" customHeight="1" x14ac:dyDescent="0.25">
      <c r="A49" s="189" t="s">
        <v>159</v>
      </c>
      <c r="B49" s="190" t="s">
        <v>74</v>
      </c>
      <c r="C49" s="190" t="s">
        <v>160</v>
      </c>
      <c r="D49" s="191">
        <v>0</v>
      </c>
      <c r="E49" s="192">
        <v>4800</v>
      </c>
      <c r="F49" s="193">
        <f t="shared" si="0"/>
        <v>3940</v>
      </c>
      <c r="G49" s="194">
        <f t="shared" si="1"/>
        <v>4080</v>
      </c>
      <c r="H49" s="195">
        <f t="shared" si="2"/>
        <v>4320</v>
      </c>
      <c r="I49" s="192">
        <f t="shared" si="3"/>
        <v>4560</v>
      </c>
      <c r="J49" s="196"/>
      <c r="K49" s="196"/>
      <c r="L49" s="198" t="str">
        <f>IFERROR(VLOOKUP(#REF!,'[3]0-LPM'!$A$6:$D$10668,4,0),"")</f>
        <v/>
      </c>
      <c r="M49" s="188"/>
      <c r="N49" s="198" t="str">
        <f>IFERROR(VLOOKUP(A49,'[3]0-LPM'!$A$6:$D$10668,4,0),"")</f>
        <v/>
      </c>
      <c r="O49" s="190"/>
    </row>
    <row r="50" spans="1:15" ht="12.2" customHeight="1" x14ac:dyDescent="0.25">
      <c r="A50" s="189" t="s">
        <v>161</v>
      </c>
      <c r="B50" s="190" t="s">
        <v>74</v>
      </c>
      <c r="C50" s="190" t="s">
        <v>162</v>
      </c>
      <c r="D50" s="191">
        <v>0</v>
      </c>
      <c r="E50" s="192">
        <v>4800</v>
      </c>
      <c r="F50" s="193">
        <f t="shared" si="0"/>
        <v>3940</v>
      </c>
      <c r="G50" s="194">
        <f t="shared" si="1"/>
        <v>4080</v>
      </c>
      <c r="H50" s="195">
        <f t="shared" si="2"/>
        <v>4320</v>
      </c>
      <c r="I50" s="192">
        <f t="shared" si="3"/>
        <v>4560</v>
      </c>
      <c r="J50" s="196"/>
      <c r="K50" s="196"/>
      <c r="L50" s="198" t="str">
        <f>IFERROR(VLOOKUP(#REF!,'[3]0-LPM'!$A$6:$D$10668,4,0),"")</f>
        <v/>
      </c>
      <c r="M50" s="188"/>
      <c r="N50" s="198" t="str">
        <f>IFERROR(VLOOKUP(A50,'[3]0-LPM'!$A$6:$D$10668,4,0),"")</f>
        <v/>
      </c>
      <c r="O50" s="190"/>
    </row>
    <row r="51" spans="1:15" ht="12.2" customHeight="1" x14ac:dyDescent="0.25">
      <c r="A51" s="189" t="s">
        <v>163</v>
      </c>
      <c r="B51" s="190" t="s">
        <v>74</v>
      </c>
      <c r="C51" s="190" t="s">
        <v>164</v>
      </c>
      <c r="D51" s="191">
        <v>0</v>
      </c>
      <c r="E51" s="192">
        <v>4800</v>
      </c>
      <c r="F51" s="193">
        <f t="shared" si="0"/>
        <v>3940</v>
      </c>
      <c r="G51" s="194">
        <f t="shared" si="1"/>
        <v>4080</v>
      </c>
      <c r="H51" s="195">
        <f t="shared" si="2"/>
        <v>4320</v>
      </c>
      <c r="I51" s="192">
        <f t="shared" si="3"/>
        <v>4560</v>
      </c>
      <c r="J51" s="196"/>
      <c r="K51" s="196"/>
      <c r="L51" s="198" t="str">
        <f>IFERROR(VLOOKUP(#REF!,'[3]0-LPM'!$A$6:$D$10668,4,0),"")</f>
        <v/>
      </c>
      <c r="M51" s="188"/>
      <c r="N51" s="198" t="str">
        <f>IFERROR(VLOOKUP(A51,'[3]0-LPM'!$A$6:$D$10668,4,0),"")</f>
        <v/>
      </c>
      <c r="O51" s="190"/>
    </row>
    <row r="52" spans="1:15" ht="12.2" customHeight="1" x14ac:dyDescent="0.25">
      <c r="A52" s="189" t="s">
        <v>165</v>
      </c>
      <c r="B52" s="190" t="s">
        <v>74</v>
      </c>
      <c r="C52" s="190" t="s">
        <v>166</v>
      </c>
      <c r="D52" s="191">
        <v>0</v>
      </c>
      <c r="E52" s="192">
        <v>2000</v>
      </c>
      <c r="F52" s="193">
        <f t="shared" si="0"/>
        <v>1640</v>
      </c>
      <c r="G52" s="194">
        <f t="shared" si="1"/>
        <v>1700</v>
      </c>
      <c r="H52" s="195">
        <f t="shared" si="2"/>
        <v>1800</v>
      </c>
      <c r="I52" s="192">
        <f t="shared" si="3"/>
        <v>1900</v>
      </c>
      <c r="J52" s="196"/>
      <c r="K52" s="196"/>
      <c r="L52" s="198" t="str">
        <f>IFERROR(VLOOKUP(#REF!,'[3]0-LPM'!$A$6:$D$10668,4,0),"")</f>
        <v/>
      </c>
      <c r="M52" s="188"/>
      <c r="N52" s="198" t="str">
        <f>IFERROR(VLOOKUP(A52,'[3]0-LPM'!$A$6:$D$10668,4,0),"")</f>
        <v/>
      </c>
      <c r="O52" s="190"/>
    </row>
    <row r="53" spans="1:15" ht="12.2" customHeight="1" x14ac:dyDescent="0.25">
      <c r="A53" s="189" t="s">
        <v>167</v>
      </c>
      <c r="B53" s="190" t="s">
        <v>74</v>
      </c>
      <c r="C53" s="190" t="s">
        <v>168</v>
      </c>
      <c r="D53" s="191">
        <v>0</v>
      </c>
      <c r="E53" s="192">
        <v>1700</v>
      </c>
      <c r="F53" s="193">
        <f t="shared" si="0"/>
        <v>1390</v>
      </c>
      <c r="G53" s="194">
        <f t="shared" si="1"/>
        <v>1450</v>
      </c>
      <c r="H53" s="195">
        <f t="shared" si="2"/>
        <v>1530</v>
      </c>
      <c r="I53" s="192">
        <f t="shared" si="3"/>
        <v>1620</v>
      </c>
      <c r="J53" s="196"/>
      <c r="K53" s="196"/>
      <c r="L53" s="198" t="str">
        <f>IFERROR(VLOOKUP(#REF!,'[3]0-LPM'!$A$6:$D$10668,4,0),"")</f>
        <v/>
      </c>
      <c r="M53" s="188"/>
      <c r="N53" s="198" t="str">
        <f>IFERROR(VLOOKUP(A53,'[3]0-LPM'!$A$6:$D$10668,4,0),"")</f>
        <v/>
      </c>
      <c r="O53" s="190"/>
    </row>
    <row r="54" spans="1:15" ht="12.2" customHeight="1" x14ac:dyDescent="0.25">
      <c r="A54" s="189" t="s">
        <v>169</v>
      </c>
      <c r="B54" s="190" t="s">
        <v>74</v>
      </c>
      <c r="C54" s="190" t="s">
        <v>170</v>
      </c>
      <c r="D54" s="191">
        <v>0</v>
      </c>
      <c r="E54" s="192">
        <v>1700</v>
      </c>
      <c r="F54" s="193">
        <f t="shared" si="0"/>
        <v>1390</v>
      </c>
      <c r="G54" s="194">
        <f t="shared" si="1"/>
        <v>1450</v>
      </c>
      <c r="H54" s="195">
        <f t="shared" si="2"/>
        <v>1530</v>
      </c>
      <c r="I54" s="192">
        <f t="shared" si="3"/>
        <v>1620</v>
      </c>
      <c r="J54" s="196"/>
      <c r="K54" s="196"/>
      <c r="L54" s="198" t="str">
        <f>IFERROR(VLOOKUP(#REF!,'[3]0-LPM'!$A$6:$D$10668,4,0),"")</f>
        <v/>
      </c>
      <c r="M54" s="188"/>
      <c r="N54" s="198" t="str">
        <f>IFERROR(VLOOKUP(A54,'[3]0-LPM'!$A$6:$D$10668,4,0),"")</f>
        <v/>
      </c>
      <c r="O54" s="190"/>
    </row>
    <row r="55" spans="1:15" ht="12.2" customHeight="1" x14ac:dyDescent="0.25">
      <c r="A55" s="201"/>
      <c r="B55" s="202"/>
      <c r="C55" s="203" t="s">
        <v>171</v>
      </c>
      <c r="D55" s="191">
        <v>0</v>
      </c>
      <c r="E55" s="192">
        <v>0</v>
      </c>
      <c r="F55" s="193">
        <f t="shared" si="0"/>
        <v>0</v>
      </c>
      <c r="G55" s="194">
        <f t="shared" si="1"/>
        <v>0</v>
      </c>
      <c r="H55" s="195">
        <f t="shared" si="2"/>
        <v>0</v>
      </c>
      <c r="I55" s="192">
        <f t="shared" si="3"/>
        <v>0</v>
      </c>
      <c r="J55" s="196"/>
      <c r="K55" s="196"/>
      <c r="L55" s="198"/>
      <c r="M55" s="188"/>
      <c r="N55" s="198"/>
      <c r="O55" s="203"/>
    </row>
    <row r="56" spans="1:15" ht="12.2" customHeight="1" x14ac:dyDescent="0.25">
      <c r="A56" s="189" t="s">
        <v>172</v>
      </c>
      <c r="B56" s="190" t="s">
        <v>74</v>
      </c>
      <c r="C56" s="190" t="s">
        <v>173</v>
      </c>
      <c r="D56" s="191">
        <v>0</v>
      </c>
      <c r="E56" s="192">
        <v>5000</v>
      </c>
      <c r="F56" s="193">
        <f t="shared" si="0"/>
        <v>4100</v>
      </c>
      <c r="G56" s="194">
        <f t="shared" si="1"/>
        <v>4250</v>
      </c>
      <c r="H56" s="195">
        <f t="shared" si="2"/>
        <v>4500</v>
      </c>
      <c r="I56" s="192">
        <f t="shared" si="3"/>
        <v>4750</v>
      </c>
      <c r="J56" s="196"/>
      <c r="K56" s="196"/>
      <c r="L56" s="198"/>
      <c r="M56" s="188"/>
      <c r="N56" s="198"/>
      <c r="O56" s="190"/>
    </row>
    <row r="57" spans="1:15" ht="12.2" customHeight="1" x14ac:dyDescent="0.25">
      <c r="A57" s="189" t="s">
        <v>174</v>
      </c>
      <c r="B57" s="190" t="s">
        <v>74</v>
      </c>
      <c r="C57" s="190" t="s">
        <v>175</v>
      </c>
      <c r="D57" s="191">
        <v>0</v>
      </c>
      <c r="E57" s="192">
        <v>5000</v>
      </c>
      <c r="F57" s="193">
        <f t="shared" si="0"/>
        <v>4100</v>
      </c>
      <c r="G57" s="194">
        <f t="shared" si="1"/>
        <v>4250</v>
      </c>
      <c r="H57" s="195">
        <f t="shared" si="2"/>
        <v>4500</v>
      </c>
      <c r="I57" s="192">
        <f t="shared" si="3"/>
        <v>4750</v>
      </c>
      <c r="J57" s="196"/>
      <c r="K57" s="196"/>
      <c r="L57" s="198"/>
      <c r="M57" s="188"/>
      <c r="N57" s="198"/>
      <c r="O57" s="190"/>
    </row>
    <row r="58" spans="1:15" ht="12.2" customHeight="1" x14ac:dyDescent="0.25">
      <c r="A58" s="189" t="s">
        <v>176</v>
      </c>
      <c r="B58" s="190" t="s">
        <v>74</v>
      </c>
      <c r="C58" s="190" t="s">
        <v>177</v>
      </c>
      <c r="D58" s="191">
        <v>0</v>
      </c>
      <c r="E58" s="192">
        <v>5000</v>
      </c>
      <c r="F58" s="193">
        <f t="shared" si="0"/>
        <v>4100</v>
      </c>
      <c r="G58" s="194">
        <f t="shared" si="1"/>
        <v>4250</v>
      </c>
      <c r="H58" s="195">
        <f t="shared" si="2"/>
        <v>4500</v>
      </c>
      <c r="I58" s="192">
        <f t="shared" si="3"/>
        <v>4750</v>
      </c>
      <c r="J58" s="196"/>
      <c r="K58" s="196"/>
      <c r="L58" s="198"/>
      <c r="M58" s="188"/>
      <c r="N58" s="198"/>
      <c r="O58" s="190"/>
    </row>
    <row r="59" spans="1:15" ht="12.2" customHeight="1" x14ac:dyDescent="0.25">
      <c r="A59" s="189" t="s">
        <v>178</v>
      </c>
      <c r="B59" s="190" t="s">
        <v>74</v>
      </c>
      <c r="C59" s="190" t="s">
        <v>179</v>
      </c>
      <c r="D59" s="191">
        <v>0</v>
      </c>
      <c r="E59" s="192">
        <v>5500</v>
      </c>
      <c r="F59" s="193">
        <f t="shared" si="0"/>
        <v>4510</v>
      </c>
      <c r="G59" s="194">
        <f t="shared" si="1"/>
        <v>4680</v>
      </c>
      <c r="H59" s="195">
        <f t="shared" si="2"/>
        <v>4950</v>
      </c>
      <c r="I59" s="192">
        <f t="shared" si="3"/>
        <v>5230</v>
      </c>
      <c r="J59" s="196"/>
      <c r="K59" s="196"/>
      <c r="L59" s="198"/>
      <c r="M59" s="188"/>
      <c r="N59" s="198"/>
      <c r="O59" s="190"/>
    </row>
    <row r="60" spans="1:15" ht="12.2" customHeight="1" x14ac:dyDescent="0.25">
      <c r="A60" s="189" t="s">
        <v>180</v>
      </c>
      <c r="B60" s="190" t="s">
        <v>74</v>
      </c>
      <c r="C60" s="190" t="s">
        <v>181</v>
      </c>
      <c r="D60" s="191">
        <v>0</v>
      </c>
      <c r="E60" s="192">
        <v>5000</v>
      </c>
      <c r="F60" s="193">
        <f t="shared" si="0"/>
        <v>4100</v>
      </c>
      <c r="G60" s="194">
        <f t="shared" si="1"/>
        <v>4250</v>
      </c>
      <c r="H60" s="195">
        <f t="shared" si="2"/>
        <v>4500</v>
      </c>
      <c r="I60" s="192">
        <f t="shared" si="3"/>
        <v>4750</v>
      </c>
      <c r="J60" s="196"/>
      <c r="K60" s="196"/>
      <c r="L60" s="198"/>
      <c r="M60" s="188"/>
      <c r="N60" s="198"/>
      <c r="O60" s="190"/>
    </row>
    <row r="61" spans="1:15" ht="12.2" customHeight="1" x14ac:dyDescent="0.25">
      <c r="A61" s="189" t="s">
        <v>182</v>
      </c>
      <c r="B61" s="190" t="s">
        <v>74</v>
      </c>
      <c r="C61" s="190" t="s">
        <v>183</v>
      </c>
      <c r="D61" s="191">
        <v>0</v>
      </c>
      <c r="E61" s="192">
        <v>5000</v>
      </c>
      <c r="F61" s="193">
        <f t="shared" si="0"/>
        <v>4100</v>
      </c>
      <c r="G61" s="194">
        <f t="shared" si="1"/>
        <v>4250</v>
      </c>
      <c r="H61" s="195">
        <f t="shared" si="2"/>
        <v>4500</v>
      </c>
      <c r="I61" s="192">
        <f t="shared" si="3"/>
        <v>4750</v>
      </c>
      <c r="J61" s="196"/>
      <c r="K61" s="196"/>
      <c r="L61" s="198"/>
      <c r="M61" s="188"/>
      <c r="N61" s="198"/>
      <c r="O61" s="190"/>
    </row>
    <row r="62" spans="1:15" ht="12.2" customHeight="1" x14ac:dyDescent="0.25">
      <c r="A62" s="189" t="s">
        <v>184</v>
      </c>
      <c r="B62" s="190" t="s">
        <v>74</v>
      </c>
      <c r="C62" s="190" t="s">
        <v>185</v>
      </c>
      <c r="D62" s="191">
        <v>0</v>
      </c>
      <c r="E62" s="192">
        <v>2500</v>
      </c>
      <c r="F62" s="193">
        <f t="shared" si="0"/>
        <v>2050</v>
      </c>
      <c r="G62" s="194">
        <f t="shared" si="1"/>
        <v>2130</v>
      </c>
      <c r="H62" s="195">
        <f t="shared" si="2"/>
        <v>2250</v>
      </c>
      <c r="I62" s="192">
        <f t="shared" si="3"/>
        <v>2380</v>
      </c>
      <c r="J62" s="196"/>
      <c r="K62" s="196"/>
      <c r="L62" s="198"/>
      <c r="M62" s="188"/>
      <c r="N62" s="198"/>
      <c r="O62" s="190"/>
    </row>
    <row r="63" spans="1:15" ht="12.2" customHeight="1" x14ac:dyDescent="0.25">
      <c r="A63" s="189" t="s">
        <v>186</v>
      </c>
      <c r="B63" s="190" t="s">
        <v>74</v>
      </c>
      <c r="C63" s="190" t="s">
        <v>187</v>
      </c>
      <c r="D63" s="191"/>
      <c r="E63" s="192">
        <v>400</v>
      </c>
      <c r="F63" s="193">
        <f t="shared" si="0"/>
        <v>330</v>
      </c>
      <c r="G63" s="194">
        <f t="shared" si="1"/>
        <v>340</v>
      </c>
      <c r="H63" s="195">
        <f t="shared" si="2"/>
        <v>360</v>
      </c>
      <c r="I63" s="192">
        <f t="shared" si="3"/>
        <v>380</v>
      </c>
      <c r="J63" s="196"/>
      <c r="K63" s="196"/>
      <c r="L63" s="198"/>
      <c r="M63" s="188"/>
      <c r="N63" s="198"/>
      <c r="O63" s="190"/>
    </row>
    <row r="64" spans="1:15" ht="12.2" customHeight="1" x14ac:dyDescent="0.25">
      <c r="A64" s="189" t="s">
        <v>188</v>
      </c>
      <c r="B64" s="190" t="s">
        <v>74</v>
      </c>
      <c r="C64" s="190" t="s">
        <v>189</v>
      </c>
      <c r="D64" s="191"/>
      <c r="E64" s="192">
        <v>500</v>
      </c>
      <c r="F64" s="193">
        <f t="shared" si="0"/>
        <v>410</v>
      </c>
      <c r="G64" s="194">
        <f t="shared" si="1"/>
        <v>430</v>
      </c>
      <c r="H64" s="195">
        <f t="shared" si="2"/>
        <v>450</v>
      </c>
      <c r="I64" s="192">
        <f t="shared" si="3"/>
        <v>480</v>
      </c>
      <c r="J64" s="196"/>
      <c r="K64" s="196"/>
      <c r="L64" s="198"/>
      <c r="M64" s="188"/>
      <c r="N64" s="198"/>
      <c r="O64" s="190"/>
    </row>
    <row r="65" spans="1:15" ht="12.2" customHeight="1" x14ac:dyDescent="0.25">
      <c r="A65" s="204"/>
      <c r="B65" s="205"/>
      <c r="C65" s="206" t="str">
        <f>+B66</f>
        <v>PAN P/ SANDWICHES</v>
      </c>
      <c r="D65" s="191">
        <v>0</v>
      </c>
      <c r="E65" s="192">
        <v>0</v>
      </c>
      <c r="F65" s="193">
        <f t="shared" si="0"/>
        <v>0</v>
      </c>
      <c r="G65" s="194">
        <f t="shared" si="1"/>
        <v>0</v>
      </c>
      <c r="H65" s="195">
        <f t="shared" si="2"/>
        <v>0</v>
      </c>
      <c r="I65" s="192">
        <f t="shared" si="3"/>
        <v>0</v>
      </c>
      <c r="J65" s="196"/>
      <c r="K65" s="196"/>
      <c r="L65" s="198" t="str">
        <f>IFERROR(VLOOKUP(#REF!,'[3]0-LPM'!$A$6:$D$10668,4,0),"")</f>
        <v/>
      </c>
      <c r="M65" s="188"/>
      <c r="N65" s="198" t="str">
        <f>IFERROR(VLOOKUP(A65,'[3]0-LPM'!$A$6:$D$10668,4,0),"")</f>
        <v/>
      </c>
      <c r="O65" s="206"/>
    </row>
    <row r="66" spans="1:15" ht="12.2" customHeight="1" x14ac:dyDescent="0.25">
      <c r="A66" s="189" t="s">
        <v>190</v>
      </c>
      <c r="B66" s="190" t="s">
        <v>191</v>
      </c>
      <c r="C66" s="190" t="s">
        <v>192</v>
      </c>
      <c r="D66" s="191">
        <v>1100</v>
      </c>
      <c r="E66" s="192">
        <v>900</v>
      </c>
      <c r="F66" s="193">
        <f t="shared" si="0"/>
        <v>740</v>
      </c>
      <c r="G66" s="194">
        <f t="shared" si="1"/>
        <v>770</v>
      </c>
      <c r="H66" s="195">
        <f t="shared" si="2"/>
        <v>810</v>
      </c>
      <c r="I66" s="192">
        <f t="shared" si="3"/>
        <v>860</v>
      </c>
      <c r="J66" s="196"/>
      <c r="K66" s="196"/>
      <c r="L66" s="198" t="str">
        <f>IFERROR(VLOOKUP(#REF!,'[3]0-LPM'!$A$6:$D$10668,4,0),"")</f>
        <v/>
      </c>
      <c r="M66" s="188"/>
      <c r="N66" s="198">
        <f>IFERROR(VLOOKUP(A66,'[3]0-LPM'!$A$6:$D$10668,4,0),"")</f>
        <v>160.10780555555553</v>
      </c>
      <c r="O66" s="190"/>
    </row>
    <row r="67" spans="1:15" ht="12.2" customHeight="1" x14ac:dyDescent="0.25">
      <c r="A67" s="189" t="s">
        <v>193</v>
      </c>
      <c r="B67" s="200" t="s">
        <v>191</v>
      </c>
      <c r="C67" s="190" t="s">
        <v>194</v>
      </c>
      <c r="D67" s="191">
        <v>1100</v>
      </c>
      <c r="E67" s="192">
        <v>400</v>
      </c>
      <c r="F67" s="193">
        <f t="shared" si="0"/>
        <v>330</v>
      </c>
      <c r="G67" s="194">
        <f t="shared" si="1"/>
        <v>340</v>
      </c>
      <c r="H67" s="195">
        <f t="shared" si="2"/>
        <v>360</v>
      </c>
      <c r="I67" s="192">
        <f t="shared" si="3"/>
        <v>380</v>
      </c>
      <c r="J67" s="196"/>
      <c r="K67" s="196"/>
      <c r="L67" s="198" t="str">
        <f>IFERROR(VLOOKUP(#REF!,'[3]0-LPM'!$A$6:$D$10668,4,0),"")</f>
        <v/>
      </c>
      <c r="M67" s="188"/>
      <c r="N67" s="198">
        <f>IFERROR(VLOOKUP(A67,'[3]0-LPM'!$A$6:$D$10668,4,0),"")</f>
        <v>44.540285714285709</v>
      </c>
      <c r="O67" s="190"/>
    </row>
    <row r="68" spans="1:15" ht="12.2" customHeight="1" x14ac:dyDescent="0.25">
      <c r="A68" s="189" t="s">
        <v>195</v>
      </c>
      <c r="B68" s="190" t="s">
        <v>191</v>
      </c>
      <c r="C68" s="190" t="s">
        <v>196</v>
      </c>
      <c r="D68" s="191">
        <v>1100</v>
      </c>
      <c r="E68" s="192">
        <v>400</v>
      </c>
      <c r="F68" s="193">
        <f t="shared" si="0"/>
        <v>330</v>
      </c>
      <c r="G68" s="194">
        <f t="shared" si="1"/>
        <v>340</v>
      </c>
      <c r="H68" s="195">
        <f t="shared" si="2"/>
        <v>360</v>
      </c>
      <c r="I68" s="192">
        <f t="shared" si="3"/>
        <v>380</v>
      </c>
      <c r="J68" s="196"/>
      <c r="K68" s="196"/>
      <c r="L68" s="198" t="str">
        <f>IFERROR(VLOOKUP(#REF!,'[3]0-LPM'!$A$6:$D$10668,4,0),"")</f>
        <v/>
      </c>
      <c r="M68" s="188"/>
      <c r="N68" s="198">
        <f>IFERROR(VLOOKUP(A68,'[3]0-LPM'!$A$6:$D$10668,4,0),"")</f>
        <v>206.36693333333335</v>
      </c>
      <c r="O68" s="190"/>
    </row>
    <row r="69" spans="1:15" ht="12.2" customHeight="1" x14ac:dyDescent="0.25">
      <c r="A69" s="189" t="s">
        <v>197</v>
      </c>
      <c r="B69" s="190" t="s">
        <v>191</v>
      </c>
      <c r="C69" s="190" t="s">
        <v>198</v>
      </c>
      <c r="D69" s="191">
        <v>8700</v>
      </c>
      <c r="E69" s="192">
        <v>5700</v>
      </c>
      <c r="F69" s="193">
        <f t="shared" si="0"/>
        <v>4670</v>
      </c>
      <c r="G69" s="194">
        <f t="shared" si="1"/>
        <v>4850</v>
      </c>
      <c r="H69" s="195">
        <f t="shared" si="2"/>
        <v>5130</v>
      </c>
      <c r="I69" s="192">
        <f t="shared" si="3"/>
        <v>5420</v>
      </c>
      <c r="J69" s="196"/>
      <c r="K69" s="196"/>
      <c r="L69" s="198" t="str">
        <f>IFERROR(VLOOKUP(#REF!,'[3]0-LPM'!$A$6:$D$10668,4,0),"")</f>
        <v/>
      </c>
      <c r="M69" s="188"/>
      <c r="N69" s="198">
        <f>IFERROR(VLOOKUP(A69,'[3]0-LPM'!$A$6:$D$10668,4,0),"")</f>
        <v>2476.4032000000002</v>
      </c>
      <c r="O69" s="190"/>
    </row>
    <row r="70" spans="1:15" ht="12.2" customHeight="1" x14ac:dyDescent="0.25">
      <c r="A70" s="199" t="s">
        <v>199</v>
      </c>
      <c r="B70" s="190" t="s">
        <v>191</v>
      </c>
      <c r="C70" s="190" t="s">
        <v>200</v>
      </c>
      <c r="D70" s="191">
        <v>300</v>
      </c>
      <c r="E70" s="192">
        <v>400</v>
      </c>
      <c r="F70" s="193">
        <f t="shared" si="0"/>
        <v>330</v>
      </c>
      <c r="G70" s="194">
        <f t="shared" si="1"/>
        <v>340</v>
      </c>
      <c r="H70" s="195">
        <f t="shared" si="2"/>
        <v>360</v>
      </c>
      <c r="I70" s="192">
        <f t="shared" si="3"/>
        <v>380</v>
      </c>
      <c r="J70" s="196"/>
      <c r="K70" s="196"/>
      <c r="L70" s="198" t="str">
        <f>IFERROR(VLOOKUP(#REF!,'[3]0-LPM'!$A$6:$D$10668,4,0),"")</f>
        <v/>
      </c>
      <c r="M70" s="188"/>
      <c r="N70" s="198">
        <f>IFERROR(VLOOKUP(A70,'[3]0-LPM'!$A$6:$D$10668,4,0),"")</f>
        <v>102.71461666666666</v>
      </c>
      <c r="O70" s="190"/>
    </row>
    <row r="71" spans="1:15" ht="12.2" customHeight="1" x14ac:dyDescent="0.25">
      <c r="A71" s="199" t="s">
        <v>201</v>
      </c>
      <c r="B71" s="190" t="s">
        <v>191</v>
      </c>
      <c r="C71" s="190" t="s">
        <v>202</v>
      </c>
      <c r="D71" s="191">
        <v>5500</v>
      </c>
      <c r="E71" s="192">
        <v>5000</v>
      </c>
      <c r="F71" s="193">
        <f t="shared" si="0"/>
        <v>4100</v>
      </c>
      <c r="G71" s="194">
        <f t="shared" si="1"/>
        <v>4250</v>
      </c>
      <c r="H71" s="195">
        <f t="shared" si="2"/>
        <v>4500</v>
      </c>
      <c r="I71" s="192">
        <f t="shared" si="3"/>
        <v>4750</v>
      </c>
      <c r="J71" s="196"/>
      <c r="K71" s="196"/>
      <c r="L71" s="198" t="str">
        <f>IFERROR(VLOOKUP(#REF!,'[3]0-LPM'!$A$6:$D$10668,4,0),"")</f>
        <v/>
      </c>
      <c r="M71" s="188"/>
      <c r="N71" s="198">
        <f>IFERROR(VLOOKUP(A71,'[3]0-LPM'!$A$6:$D$10668,4,0),"")</f>
        <v>1232.5754000000002</v>
      </c>
      <c r="O71" s="190"/>
    </row>
    <row r="72" spans="1:15" ht="12.2" customHeight="1" x14ac:dyDescent="0.25">
      <c r="A72" s="199" t="s">
        <v>203</v>
      </c>
      <c r="B72" s="190" t="s">
        <v>191</v>
      </c>
      <c r="C72" s="190" t="s">
        <v>204</v>
      </c>
      <c r="D72" s="191">
        <v>3200</v>
      </c>
      <c r="E72" s="192">
        <v>2300</v>
      </c>
      <c r="F72" s="193">
        <f t="shared" si="0"/>
        <v>1890</v>
      </c>
      <c r="G72" s="194">
        <f t="shared" si="1"/>
        <v>1960</v>
      </c>
      <c r="H72" s="195">
        <f t="shared" si="2"/>
        <v>2070</v>
      </c>
      <c r="I72" s="192">
        <f t="shared" si="3"/>
        <v>2190</v>
      </c>
      <c r="J72" s="196"/>
      <c r="K72" s="196"/>
      <c r="L72" s="198" t="str">
        <f>IFERROR(VLOOKUP(#REF!,'[3]0-LPM'!$A$6:$D$10668,4,0),"")</f>
        <v/>
      </c>
      <c r="M72" s="188"/>
      <c r="N72" s="198">
        <f>IFERROR(VLOOKUP(A72,'[3]0-LPM'!$A$6:$D$10668,4,0),"")</f>
        <v>616.28770000000009</v>
      </c>
      <c r="O72" s="190"/>
    </row>
    <row r="73" spans="1:15" ht="12.2" customHeight="1" x14ac:dyDescent="0.25">
      <c r="A73" s="199" t="s">
        <v>205</v>
      </c>
      <c r="B73" s="190" t="s">
        <v>191</v>
      </c>
      <c r="C73" s="190" t="s">
        <v>206</v>
      </c>
      <c r="D73" s="191">
        <v>300</v>
      </c>
      <c r="E73" s="192">
        <v>600</v>
      </c>
      <c r="F73" s="193">
        <f t="shared" si="0"/>
        <v>490</v>
      </c>
      <c r="G73" s="194">
        <f t="shared" si="1"/>
        <v>510</v>
      </c>
      <c r="H73" s="195">
        <f t="shared" si="2"/>
        <v>540</v>
      </c>
      <c r="I73" s="192">
        <f t="shared" si="3"/>
        <v>570</v>
      </c>
      <c r="J73" s="196"/>
      <c r="K73" s="196"/>
      <c r="L73" s="198" t="str">
        <f>IFERROR(VLOOKUP(#REF!,'[3]0-LPM'!$A$6:$D$10668,4,0),"")</f>
        <v/>
      </c>
      <c r="M73" s="188"/>
      <c r="N73" s="198">
        <f>IFERROR(VLOOKUP(A73,'[3]0-LPM'!$A$6:$D$10668,4,0),"")</f>
        <v>34.23820555555556</v>
      </c>
      <c r="O73" s="190"/>
    </row>
    <row r="74" spans="1:15" ht="12.2" customHeight="1" x14ac:dyDescent="0.25">
      <c r="A74" s="199" t="s">
        <v>207</v>
      </c>
      <c r="B74" s="190" t="s">
        <v>191</v>
      </c>
      <c r="C74" s="190" t="s">
        <v>208</v>
      </c>
      <c r="D74" s="191">
        <v>2100</v>
      </c>
      <c r="E74" s="192">
        <v>3200</v>
      </c>
      <c r="F74" s="193">
        <f t="shared" si="0"/>
        <v>2620</v>
      </c>
      <c r="G74" s="194">
        <f t="shared" si="1"/>
        <v>2720</v>
      </c>
      <c r="H74" s="195">
        <f t="shared" si="2"/>
        <v>2880</v>
      </c>
      <c r="I74" s="192">
        <f t="shared" si="3"/>
        <v>3040</v>
      </c>
      <c r="J74" s="196"/>
      <c r="K74" s="196"/>
      <c r="L74" s="198" t="str">
        <f>IFERROR(VLOOKUP(#REF!,'[3]0-LPM'!$A$6:$D$10668,4,0),"")</f>
        <v/>
      </c>
      <c r="M74" s="188"/>
      <c r="N74" s="198">
        <f>IFERROR(VLOOKUP(A74,'[3]0-LPM'!$A$6:$D$10668,4,0),"")</f>
        <v>0</v>
      </c>
      <c r="O74" s="190"/>
    </row>
    <row r="75" spans="1:15" ht="12.2" customHeight="1" x14ac:dyDescent="0.25">
      <c r="A75" s="199" t="s">
        <v>209</v>
      </c>
      <c r="B75" s="190" t="s">
        <v>191</v>
      </c>
      <c r="C75" s="190" t="s">
        <v>210</v>
      </c>
      <c r="D75" s="191">
        <v>5100</v>
      </c>
      <c r="E75" s="192">
        <v>4100</v>
      </c>
      <c r="F75" s="193">
        <f t="shared" ref="F75:F140" si="4">+ROUND(E75-H75*F$1,-1)</f>
        <v>3360</v>
      </c>
      <c r="G75" s="194">
        <f t="shared" ref="G75:G140" si="5">+ROUND(E75-E75*G$1,-1)</f>
        <v>3490</v>
      </c>
      <c r="H75" s="195">
        <f t="shared" ref="H75:H140" si="6">+ROUND(E75-E75*H$1,-1)</f>
        <v>3690</v>
      </c>
      <c r="I75" s="192">
        <f t="shared" ref="I75:I140" si="7">+ROUND(E75-E75*I$1,-1)</f>
        <v>3900</v>
      </c>
      <c r="J75" s="196"/>
      <c r="K75" s="196"/>
      <c r="L75" s="198" t="str">
        <f>IFERROR(VLOOKUP(#REF!,'[3]0-LPM'!$A$6:$D$10668,4,0),"")</f>
        <v/>
      </c>
      <c r="M75" s="188"/>
      <c r="N75" s="198">
        <f>IFERROR(VLOOKUP(A75,'[3]0-LPM'!$A$6:$D$10668,4,0),"")</f>
        <v>410.85846666666669</v>
      </c>
      <c r="O75" s="190"/>
    </row>
    <row r="76" spans="1:15" ht="12.2" customHeight="1" x14ac:dyDescent="0.25">
      <c r="A76" s="199" t="s">
        <v>211</v>
      </c>
      <c r="B76" s="190" t="s">
        <v>191</v>
      </c>
      <c r="C76" s="190" t="s">
        <v>212</v>
      </c>
      <c r="D76" s="191">
        <v>870</v>
      </c>
      <c r="E76" s="192">
        <v>430</v>
      </c>
      <c r="F76" s="193">
        <f t="shared" si="4"/>
        <v>350</v>
      </c>
      <c r="G76" s="194">
        <f t="shared" si="5"/>
        <v>370</v>
      </c>
      <c r="H76" s="195">
        <f t="shared" si="6"/>
        <v>390</v>
      </c>
      <c r="I76" s="192">
        <f t="shared" si="7"/>
        <v>410</v>
      </c>
      <c r="J76" s="196"/>
      <c r="K76" s="196"/>
      <c r="L76" s="198" t="str">
        <f>IFERROR(VLOOKUP(#REF!,'[3]0-LPM'!$A$6:$D$10668,4,0),"")</f>
        <v/>
      </c>
      <c r="M76" s="188"/>
      <c r="N76" s="198">
        <f>IFERROR(VLOOKUP(A76,'[3]0-LPM'!$A$6:$D$10668,4,0),"")</f>
        <v>1319.7273600000001</v>
      </c>
      <c r="O76" s="190"/>
    </row>
    <row r="77" spans="1:15" ht="12.2" customHeight="1" x14ac:dyDescent="0.25">
      <c r="A77" s="199" t="s">
        <v>213</v>
      </c>
      <c r="B77" s="190" t="s">
        <v>191</v>
      </c>
      <c r="C77" s="190" t="s">
        <v>214</v>
      </c>
      <c r="D77" s="191">
        <v>5100</v>
      </c>
      <c r="E77" s="192">
        <v>2300</v>
      </c>
      <c r="F77" s="193">
        <f t="shared" si="4"/>
        <v>1890</v>
      </c>
      <c r="G77" s="194">
        <f t="shared" si="5"/>
        <v>1960</v>
      </c>
      <c r="H77" s="195">
        <f t="shared" si="6"/>
        <v>2070</v>
      </c>
      <c r="I77" s="192">
        <f t="shared" si="7"/>
        <v>2190</v>
      </c>
      <c r="J77" s="196"/>
      <c r="K77" s="196"/>
      <c r="L77" s="198" t="str">
        <f>IFERROR(VLOOKUP(#REF!,'[3]0-LPM'!$A$6:$D$10668,4,0),"")</f>
        <v/>
      </c>
      <c r="M77" s="188"/>
      <c r="N77" s="198">
        <f>IFERROR(VLOOKUP(A77,'[3]0-LPM'!$A$6:$D$10668,4,0),"")</f>
        <v>0</v>
      </c>
      <c r="O77" s="190"/>
    </row>
    <row r="78" spans="1:15" ht="12.2" customHeight="1" x14ac:dyDescent="0.25">
      <c r="A78" s="199" t="s">
        <v>215</v>
      </c>
      <c r="B78" s="190" t="s">
        <v>191</v>
      </c>
      <c r="C78" s="190" t="s">
        <v>216</v>
      </c>
      <c r="D78" s="191">
        <v>1100</v>
      </c>
      <c r="E78" s="192">
        <v>400</v>
      </c>
      <c r="F78" s="193">
        <f t="shared" si="4"/>
        <v>330</v>
      </c>
      <c r="G78" s="194">
        <f t="shared" si="5"/>
        <v>340</v>
      </c>
      <c r="H78" s="195">
        <f t="shared" si="6"/>
        <v>360</v>
      </c>
      <c r="I78" s="192">
        <f t="shared" si="7"/>
        <v>380</v>
      </c>
      <c r="J78" s="196"/>
      <c r="K78" s="196"/>
      <c r="L78" s="198" t="str">
        <f>IFERROR(VLOOKUP(#REF!,'[3]0-LPM'!$A$6:$D$10668,4,0),"")</f>
        <v/>
      </c>
      <c r="M78" s="188"/>
      <c r="N78" s="198">
        <f>IFERROR(VLOOKUP(A78,'[3]0-LPM'!$A$6:$D$10668,4,0),"")</f>
        <v>96.34492250000001</v>
      </c>
      <c r="O78" s="190"/>
    </row>
    <row r="79" spans="1:15" ht="12.2" customHeight="1" x14ac:dyDescent="0.25">
      <c r="A79" s="199" t="s">
        <v>217</v>
      </c>
      <c r="B79" s="190" t="s">
        <v>191</v>
      </c>
      <c r="C79" s="190" t="s">
        <v>218</v>
      </c>
      <c r="D79" s="191">
        <v>5500</v>
      </c>
      <c r="E79" s="192">
        <v>2400</v>
      </c>
      <c r="F79" s="193">
        <f t="shared" si="4"/>
        <v>1970</v>
      </c>
      <c r="G79" s="194">
        <f t="shared" si="5"/>
        <v>2040</v>
      </c>
      <c r="H79" s="195">
        <f t="shared" si="6"/>
        <v>2160</v>
      </c>
      <c r="I79" s="192">
        <f t="shared" si="7"/>
        <v>2280</v>
      </c>
      <c r="J79" s="196"/>
      <c r="K79" s="196"/>
      <c r="L79" s="198" t="str">
        <f>IFERROR(VLOOKUP(#REF!,'[3]0-LPM'!$A$6:$D$10668,4,0),"")</f>
        <v/>
      </c>
      <c r="M79" s="188"/>
      <c r="N79" s="198">
        <f>IFERROR(VLOOKUP(A79,'[3]0-LPM'!$A$6:$D$10668,4,0),"")</f>
        <v>578.06953500000009</v>
      </c>
      <c r="O79" s="190"/>
    </row>
    <row r="80" spans="1:15" ht="12.2" customHeight="1" x14ac:dyDescent="0.25">
      <c r="A80" s="199" t="s">
        <v>219</v>
      </c>
      <c r="B80" s="190" t="s">
        <v>191</v>
      </c>
      <c r="C80" s="190" t="s">
        <v>220</v>
      </c>
      <c r="D80" s="191">
        <v>1100</v>
      </c>
      <c r="E80" s="192">
        <v>900</v>
      </c>
      <c r="F80" s="193">
        <f t="shared" si="4"/>
        <v>740</v>
      </c>
      <c r="G80" s="194">
        <f t="shared" si="5"/>
        <v>770</v>
      </c>
      <c r="H80" s="195">
        <f t="shared" si="6"/>
        <v>810</v>
      </c>
      <c r="I80" s="192">
        <f t="shared" si="7"/>
        <v>860</v>
      </c>
      <c r="J80" s="196"/>
      <c r="K80" s="196"/>
      <c r="L80" s="198" t="str">
        <f>IFERROR(VLOOKUP(#REF!,'[3]0-LPM'!$A$6:$D$10668,4,0),"")</f>
        <v/>
      </c>
      <c r="M80" s="188"/>
      <c r="N80" s="198">
        <f>IFERROR(VLOOKUP(A80,'[3]0-LPM'!$A$6:$D$10668,4,0),"")</f>
        <v>180.12128124999998</v>
      </c>
      <c r="O80" s="190"/>
    </row>
    <row r="81" spans="1:15" ht="12.2" customHeight="1" x14ac:dyDescent="0.25">
      <c r="A81" s="199" t="s">
        <v>221</v>
      </c>
      <c r="B81" s="190" t="s">
        <v>191</v>
      </c>
      <c r="C81" s="190" t="s">
        <v>222</v>
      </c>
      <c r="D81" s="191">
        <v>1700</v>
      </c>
      <c r="E81" s="192">
        <v>1000</v>
      </c>
      <c r="F81" s="193">
        <f t="shared" si="4"/>
        <v>820</v>
      </c>
      <c r="G81" s="194">
        <f t="shared" si="5"/>
        <v>850</v>
      </c>
      <c r="H81" s="195">
        <f t="shared" si="6"/>
        <v>900</v>
      </c>
      <c r="I81" s="192">
        <f t="shared" si="7"/>
        <v>950</v>
      </c>
      <c r="J81" s="196"/>
      <c r="K81" s="196"/>
      <c r="L81" s="198" t="str">
        <f>IFERROR(VLOOKUP(#REF!,'[3]0-LPM'!$A$6:$D$10668,4,0),"")</f>
        <v/>
      </c>
      <c r="M81" s="188"/>
      <c r="N81" s="198">
        <f>IFERROR(VLOOKUP(A81,'[3]0-LPM'!$A$6:$D$10668,4,0),"")</f>
        <v>295.71677777777774</v>
      </c>
      <c r="O81" s="190"/>
    </row>
    <row r="82" spans="1:15" ht="12.2" customHeight="1" x14ac:dyDescent="0.25">
      <c r="A82" s="199" t="s">
        <v>223</v>
      </c>
      <c r="B82" s="190" t="s">
        <v>191</v>
      </c>
      <c r="C82" s="190" t="s">
        <v>224</v>
      </c>
      <c r="D82" s="191">
        <v>2100</v>
      </c>
      <c r="E82" s="192">
        <v>2000</v>
      </c>
      <c r="F82" s="193">
        <f t="shared" si="4"/>
        <v>1640</v>
      </c>
      <c r="G82" s="194">
        <f t="shared" si="5"/>
        <v>1700</v>
      </c>
      <c r="H82" s="195">
        <f t="shared" si="6"/>
        <v>1800</v>
      </c>
      <c r="I82" s="192">
        <f t="shared" si="7"/>
        <v>1900</v>
      </c>
      <c r="J82" s="196"/>
      <c r="K82" s="196"/>
      <c r="L82" s="198" t="str">
        <f>IFERROR(VLOOKUP(#REF!,'[3]0-LPM'!$A$6:$D$10668,4,0),"")</f>
        <v/>
      </c>
      <c r="M82" s="188"/>
      <c r="N82" s="198">
        <f>IFERROR(VLOOKUP(A82,'[3]0-LPM'!$A$6:$D$10668,4,0),"")</f>
        <v>591.43355555555547</v>
      </c>
      <c r="O82" s="190"/>
    </row>
    <row r="83" spans="1:15" ht="12.2" customHeight="1" x14ac:dyDescent="0.25">
      <c r="A83" s="199" t="s">
        <v>225</v>
      </c>
      <c r="B83" s="190" t="s">
        <v>191</v>
      </c>
      <c r="C83" s="190" t="s">
        <v>226</v>
      </c>
      <c r="D83" s="191">
        <v>6700</v>
      </c>
      <c r="E83" s="192">
        <v>6000</v>
      </c>
      <c r="F83" s="193">
        <f t="shared" si="4"/>
        <v>4920</v>
      </c>
      <c r="G83" s="194">
        <f t="shared" si="5"/>
        <v>5100</v>
      </c>
      <c r="H83" s="195">
        <f t="shared" si="6"/>
        <v>5400</v>
      </c>
      <c r="I83" s="192">
        <f t="shared" si="7"/>
        <v>5700</v>
      </c>
      <c r="J83" s="196"/>
      <c r="K83" s="196"/>
      <c r="L83" s="198" t="str">
        <f>IFERROR(VLOOKUP(#REF!,'[3]0-LPM'!$A$6:$D$10668,4,0),"")</f>
        <v/>
      </c>
      <c r="M83" s="188"/>
      <c r="N83" s="198">
        <f>IFERROR(VLOOKUP(A83,'[3]0-LPM'!$A$6:$D$10668,4,0),"")</f>
        <v>1774.3006666666665</v>
      </c>
      <c r="O83" s="190"/>
    </row>
    <row r="84" spans="1:15" ht="12.2" customHeight="1" x14ac:dyDescent="0.25">
      <c r="A84" s="199" t="s">
        <v>227</v>
      </c>
      <c r="B84" s="190" t="s">
        <v>191</v>
      </c>
      <c r="C84" s="190" t="s">
        <v>228</v>
      </c>
      <c r="D84" s="191">
        <v>2000</v>
      </c>
      <c r="E84" s="192">
        <v>1200</v>
      </c>
      <c r="F84" s="193">
        <f t="shared" si="4"/>
        <v>980</v>
      </c>
      <c r="G84" s="194">
        <f t="shared" si="5"/>
        <v>1020</v>
      </c>
      <c r="H84" s="195">
        <f t="shared" si="6"/>
        <v>1080</v>
      </c>
      <c r="I84" s="192">
        <f t="shared" si="7"/>
        <v>1140</v>
      </c>
      <c r="J84" s="196"/>
      <c r="K84" s="196"/>
      <c r="L84" s="198" t="str">
        <f>IFERROR(VLOOKUP(#REF!,'[3]0-LPM'!$A$6:$D$10668,4,0),"")</f>
        <v/>
      </c>
      <c r="M84" s="188"/>
      <c r="N84" s="198">
        <f>IFERROR(VLOOKUP(A84,'[3]0-LPM'!$A$6:$D$10668,4,0),"")</f>
        <v>414.12902222222226</v>
      </c>
      <c r="O84" s="190"/>
    </row>
    <row r="85" spans="1:15" ht="12.2" customHeight="1" x14ac:dyDescent="0.25">
      <c r="A85" s="199" t="s">
        <v>229</v>
      </c>
      <c r="B85" s="200" t="s">
        <v>191</v>
      </c>
      <c r="C85" s="200" t="s">
        <v>230</v>
      </c>
      <c r="D85" s="191">
        <v>11700</v>
      </c>
      <c r="E85" s="192">
        <v>3900</v>
      </c>
      <c r="F85" s="193">
        <f t="shared" si="4"/>
        <v>3200</v>
      </c>
      <c r="G85" s="194">
        <f t="shared" si="5"/>
        <v>3320</v>
      </c>
      <c r="H85" s="195">
        <f t="shared" si="6"/>
        <v>3510</v>
      </c>
      <c r="I85" s="192">
        <f t="shared" si="7"/>
        <v>3710</v>
      </c>
      <c r="J85" s="196"/>
      <c r="K85" s="196"/>
      <c r="L85" s="198" t="str">
        <f>IFERROR(VLOOKUP(#REF!,'[3]0-LPM'!$A$6:$D$10668,4,0),"")</f>
        <v/>
      </c>
      <c r="M85" s="188"/>
      <c r="N85" s="198">
        <f>IFERROR(VLOOKUP(A85,'[3]0-LPM'!$A$6:$D$10668,4,0),"")</f>
        <v>828.25804444444452</v>
      </c>
      <c r="O85" s="200"/>
    </row>
    <row r="86" spans="1:15" ht="12.2" customHeight="1" x14ac:dyDescent="0.25">
      <c r="A86" s="199" t="s">
        <v>231</v>
      </c>
      <c r="B86" s="190" t="s">
        <v>191</v>
      </c>
      <c r="C86" s="190" t="s">
        <v>232</v>
      </c>
      <c r="D86" s="191">
        <v>11100</v>
      </c>
      <c r="E86" s="192">
        <f>1200*12</f>
        <v>14400</v>
      </c>
      <c r="F86" s="193">
        <f t="shared" si="4"/>
        <v>11810</v>
      </c>
      <c r="G86" s="194">
        <f t="shared" si="5"/>
        <v>12240</v>
      </c>
      <c r="H86" s="195">
        <f t="shared" si="6"/>
        <v>12960</v>
      </c>
      <c r="I86" s="192">
        <f t="shared" si="7"/>
        <v>13680</v>
      </c>
      <c r="J86" s="196"/>
      <c r="K86" s="196"/>
      <c r="L86" s="198" t="str">
        <f>IFERROR(VLOOKUP(#REF!,'[3]0-LPM'!$A$6:$D$10668,4,0),"")</f>
        <v/>
      </c>
      <c r="M86" s="188"/>
      <c r="N86" s="198">
        <f>IFERROR(VLOOKUP(A86,'[3]0-LPM'!$A$6:$D$10668,4,0),"")</f>
        <v>3727.1612000000005</v>
      </c>
      <c r="O86" s="190"/>
    </row>
    <row r="87" spans="1:15" ht="12.2" customHeight="1" x14ac:dyDescent="0.25">
      <c r="A87" s="199" t="s">
        <v>233</v>
      </c>
      <c r="B87" s="190" t="s">
        <v>191</v>
      </c>
      <c r="C87" s="190" t="s">
        <v>234</v>
      </c>
      <c r="D87" s="191">
        <v>0</v>
      </c>
      <c r="E87" s="192">
        <v>4400</v>
      </c>
      <c r="F87" s="193">
        <f t="shared" si="4"/>
        <v>3610</v>
      </c>
      <c r="G87" s="194">
        <f t="shared" si="5"/>
        <v>3740</v>
      </c>
      <c r="H87" s="195">
        <f t="shared" si="6"/>
        <v>3960</v>
      </c>
      <c r="I87" s="192">
        <f t="shared" si="7"/>
        <v>4180</v>
      </c>
      <c r="J87" s="196"/>
      <c r="K87" s="196"/>
      <c r="L87" s="198" t="str">
        <f>IFERROR(VLOOKUP(#REF!,'[3]0-LPM'!$A$6:$D$10668,4,0),"")</f>
        <v/>
      </c>
      <c r="M87" s="188"/>
      <c r="N87" s="198" t="str">
        <f>IFERROR(VLOOKUP(A87,'[3]0-LPM'!$A$6:$D$10668,4,0),"")</f>
        <v/>
      </c>
      <c r="O87" s="190"/>
    </row>
    <row r="88" spans="1:15" ht="12.2" customHeight="1" x14ac:dyDescent="0.25">
      <c r="A88" s="199" t="s">
        <v>235</v>
      </c>
      <c r="B88" s="190" t="s">
        <v>191</v>
      </c>
      <c r="C88" s="190" t="s">
        <v>236</v>
      </c>
      <c r="D88" s="191">
        <v>4700</v>
      </c>
      <c r="E88" s="192">
        <v>2800</v>
      </c>
      <c r="F88" s="193">
        <f t="shared" si="4"/>
        <v>2300</v>
      </c>
      <c r="G88" s="194">
        <f t="shared" si="5"/>
        <v>2380</v>
      </c>
      <c r="H88" s="195">
        <f t="shared" si="6"/>
        <v>2520</v>
      </c>
      <c r="I88" s="192">
        <f t="shared" si="7"/>
        <v>2660</v>
      </c>
      <c r="J88" s="196">
        <v>527.57729777777774</v>
      </c>
      <c r="K88" s="196">
        <v>1759.5772977777779</v>
      </c>
      <c r="L88" s="197">
        <f>+E88-K88</f>
        <v>1040.4227022222221</v>
      </c>
      <c r="M88" s="188">
        <f>+L88/E88</f>
        <v>0.37157953650793646</v>
      </c>
      <c r="N88" s="198"/>
      <c r="O88" s="190"/>
    </row>
    <row r="89" spans="1:15" ht="12.2" customHeight="1" x14ac:dyDescent="0.25">
      <c r="A89" s="199" t="s">
        <v>237</v>
      </c>
      <c r="B89" s="190" t="s">
        <v>191</v>
      </c>
      <c r="C89" s="190" t="s">
        <v>238</v>
      </c>
      <c r="D89" s="191"/>
      <c r="E89" s="192">
        <v>850</v>
      </c>
      <c r="F89" s="193">
        <f t="shared" si="4"/>
        <v>700</v>
      </c>
      <c r="G89" s="194">
        <f t="shared" si="5"/>
        <v>720</v>
      </c>
      <c r="H89" s="195">
        <f t="shared" si="6"/>
        <v>770</v>
      </c>
      <c r="I89" s="192">
        <f t="shared" si="7"/>
        <v>810</v>
      </c>
      <c r="J89" s="196"/>
      <c r="K89" s="196"/>
      <c r="L89" s="197"/>
      <c r="M89" s="188"/>
      <c r="N89" s="198"/>
      <c r="O89" s="190"/>
    </row>
    <row r="90" spans="1:15" ht="12.2" customHeight="1" x14ac:dyDescent="0.25">
      <c r="A90" s="204"/>
      <c r="B90" s="205"/>
      <c r="C90" s="206" t="str">
        <f>+B92</f>
        <v>ESPECIALES</v>
      </c>
      <c r="D90" s="191">
        <v>0</v>
      </c>
      <c r="E90" s="192">
        <v>0</v>
      </c>
      <c r="F90" s="193">
        <f t="shared" si="4"/>
        <v>0</v>
      </c>
      <c r="G90" s="194">
        <f t="shared" si="5"/>
        <v>0</v>
      </c>
      <c r="H90" s="195">
        <f t="shared" si="6"/>
        <v>0</v>
      </c>
      <c r="I90" s="192">
        <f t="shared" si="7"/>
        <v>0</v>
      </c>
      <c r="J90" s="196"/>
      <c r="K90" s="196"/>
      <c r="L90" s="198" t="str">
        <f>IFERROR(VLOOKUP(#REF!,'[3]0-LPM'!$A$6:$D$10668,4,0),"")</f>
        <v/>
      </c>
      <c r="M90" s="188"/>
      <c r="N90" s="198" t="str">
        <f>IFERROR(VLOOKUP(A90,'[3]0-LPM'!$A$6:$D$10668,4,0),"")</f>
        <v/>
      </c>
      <c r="O90" s="206"/>
    </row>
    <row r="91" spans="1:15" ht="12.2" customHeight="1" x14ac:dyDescent="0.25">
      <c r="A91" s="189" t="s">
        <v>239</v>
      </c>
      <c r="B91" s="190" t="s">
        <v>240</v>
      </c>
      <c r="C91" s="190" t="s">
        <v>241</v>
      </c>
      <c r="D91" s="191">
        <v>20700</v>
      </c>
      <c r="E91" s="192">
        <v>18900</v>
      </c>
      <c r="F91" s="193">
        <f t="shared" si="4"/>
        <v>15500</v>
      </c>
      <c r="G91" s="194">
        <f t="shared" si="5"/>
        <v>16070</v>
      </c>
      <c r="H91" s="195">
        <f t="shared" si="6"/>
        <v>17010</v>
      </c>
      <c r="I91" s="192">
        <f t="shared" si="7"/>
        <v>17960</v>
      </c>
      <c r="J91" s="196"/>
      <c r="K91" s="196"/>
      <c r="L91" s="198" t="str">
        <f>IFERROR(VLOOKUP(#REF!,'[3]0-LPM'!$A$6:$D$10668,4,0),"")</f>
        <v/>
      </c>
      <c r="M91" s="188"/>
      <c r="N91" s="198">
        <f>IFERROR(VLOOKUP(A91,'[3]0-LPM'!$A$6:$D$10668,4,0),"")</f>
        <v>0</v>
      </c>
      <c r="O91" s="190"/>
    </row>
    <row r="92" spans="1:15" ht="12.2" customHeight="1" x14ac:dyDescent="0.25">
      <c r="A92" s="199" t="s">
        <v>242</v>
      </c>
      <c r="B92" s="190" t="s">
        <v>240</v>
      </c>
      <c r="C92" s="190" t="s">
        <v>243</v>
      </c>
      <c r="D92" s="191">
        <v>2100</v>
      </c>
      <c r="E92" s="192">
        <v>1500</v>
      </c>
      <c r="F92" s="193">
        <f t="shared" si="4"/>
        <v>1230</v>
      </c>
      <c r="G92" s="194">
        <f t="shared" si="5"/>
        <v>1280</v>
      </c>
      <c r="H92" s="195">
        <f t="shared" si="6"/>
        <v>1350</v>
      </c>
      <c r="I92" s="192">
        <f t="shared" si="7"/>
        <v>1430</v>
      </c>
      <c r="J92" s="196"/>
      <c r="K92" s="196"/>
      <c r="L92" s="198" t="str">
        <f>IFERROR(VLOOKUP(#REF!,'[3]0-LPM'!$A$6:$D$10668,4,0),"")</f>
        <v/>
      </c>
      <c r="M92" s="188"/>
      <c r="N92" s="198">
        <f>IFERROR(VLOOKUP(A92,'[3]0-LPM'!$A$6:$D$10668,4,0),"")</f>
        <v>240.8166888888889</v>
      </c>
      <c r="O92" s="190"/>
    </row>
    <row r="93" spans="1:15" ht="12.2" customHeight="1" x14ac:dyDescent="0.25">
      <c r="A93" s="199" t="s">
        <v>244</v>
      </c>
      <c r="B93" s="190" t="s">
        <v>240</v>
      </c>
      <c r="C93" s="190" t="s">
        <v>245</v>
      </c>
      <c r="D93" s="191">
        <v>3900</v>
      </c>
      <c r="E93" s="192">
        <v>3000</v>
      </c>
      <c r="F93" s="193">
        <f t="shared" si="4"/>
        <v>2460</v>
      </c>
      <c r="G93" s="194">
        <f t="shared" si="5"/>
        <v>2550</v>
      </c>
      <c r="H93" s="195">
        <f t="shared" si="6"/>
        <v>2700</v>
      </c>
      <c r="I93" s="192">
        <f t="shared" si="7"/>
        <v>2850</v>
      </c>
      <c r="J93" s="196">
        <v>1131.2467496296297</v>
      </c>
      <c r="K93" s="196">
        <v>2231.2467496296294</v>
      </c>
      <c r="L93" s="197">
        <f>+E93-K93</f>
        <v>768.75325037037055</v>
      </c>
      <c r="M93" s="188">
        <f>+L93/E93</f>
        <v>0.25625108345679021</v>
      </c>
      <c r="N93" s="198">
        <f>IFERROR(VLOOKUP(A93,'[3]0-LPM'!$A$6:$D$10668,4,0),"")</f>
        <v>481.63337777777781</v>
      </c>
      <c r="O93" s="190"/>
    </row>
    <row r="94" spans="1:15" ht="12.2" customHeight="1" x14ac:dyDescent="0.25">
      <c r="A94" s="199" t="s">
        <v>246</v>
      </c>
      <c r="B94" s="190" t="s">
        <v>240</v>
      </c>
      <c r="C94" s="190" t="s">
        <v>247</v>
      </c>
      <c r="D94" s="191">
        <v>2000</v>
      </c>
      <c r="E94" s="192">
        <v>1200</v>
      </c>
      <c r="F94" s="193">
        <f t="shared" si="4"/>
        <v>980</v>
      </c>
      <c r="G94" s="194">
        <f t="shared" si="5"/>
        <v>1020</v>
      </c>
      <c r="H94" s="195">
        <f t="shared" si="6"/>
        <v>1080</v>
      </c>
      <c r="I94" s="192">
        <f t="shared" si="7"/>
        <v>1140</v>
      </c>
      <c r="J94" s="196"/>
      <c r="K94" s="196"/>
      <c r="L94" s="198" t="str">
        <f>IFERROR(VLOOKUP(#REF!,'[3]0-LPM'!$A$6:$D$10668,4,0),"")</f>
        <v/>
      </c>
      <c r="M94" s="188"/>
      <c r="N94" s="198">
        <f>IFERROR(VLOOKUP(A94,'[3]0-LPM'!$A$6:$D$10668,4,0),"")</f>
        <v>253.0655851851852</v>
      </c>
      <c r="O94" s="190"/>
    </row>
    <row r="95" spans="1:15" ht="12.2" customHeight="1" x14ac:dyDescent="0.25">
      <c r="A95" s="189" t="s">
        <v>248</v>
      </c>
      <c r="B95" s="190" t="s">
        <v>240</v>
      </c>
      <c r="C95" s="190" t="s">
        <v>249</v>
      </c>
      <c r="D95" s="191">
        <v>7700</v>
      </c>
      <c r="E95" s="192">
        <v>3600</v>
      </c>
      <c r="F95" s="193">
        <f t="shared" si="4"/>
        <v>2950</v>
      </c>
      <c r="G95" s="194">
        <f t="shared" si="5"/>
        <v>3060</v>
      </c>
      <c r="H95" s="195">
        <f t="shared" si="6"/>
        <v>3240</v>
      </c>
      <c r="I95" s="192">
        <f t="shared" si="7"/>
        <v>3420</v>
      </c>
      <c r="J95" s="196"/>
      <c r="K95" s="196"/>
      <c r="L95" s="198" t="str">
        <f>IFERROR(VLOOKUP(#REF!,'[3]0-LPM'!$A$6:$D$10668,4,0),"")</f>
        <v/>
      </c>
      <c r="M95" s="188"/>
      <c r="N95" s="198">
        <f>IFERROR(VLOOKUP(A95,'[3]0-LPM'!$A$6:$D$10668,4,0),"")</f>
        <v>1518.3935111111111</v>
      </c>
      <c r="O95" s="190"/>
    </row>
    <row r="96" spans="1:15" ht="12.2" customHeight="1" x14ac:dyDescent="0.25">
      <c r="A96" s="199" t="s">
        <v>250</v>
      </c>
      <c r="B96" s="190" t="s">
        <v>240</v>
      </c>
      <c r="C96" s="190" t="s">
        <v>251</v>
      </c>
      <c r="D96" s="191">
        <v>25900</v>
      </c>
      <c r="E96" s="192">
        <v>13500</v>
      </c>
      <c r="F96" s="193">
        <f t="shared" si="4"/>
        <v>11070</v>
      </c>
      <c r="G96" s="194">
        <f t="shared" si="5"/>
        <v>11480</v>
      </c>
      <c r="H96" s="195">
        <f t="shared" si="6"/>
        <v>12150</v>
      </c>
      <c r="I96" s="192">
        <f t="shared" si="7"/>
        <v>12830</v>
      </c>
      <c r="J96" s="196"/>
      <c r="K96" s="196"/>
      <c r="L96" s="198" t="str">
        <f>IFERROR(VLOOKUP(#REF!,'[3]0-LPM'!$A$6:$D$10668,4,0),"")</f>
        <v/>
      </c>
      <c r="M96" s="188"/>
      <c r="N96" s="198">
        <f>IFERROR(VLOOKUP(A96,'[3]0-LPM'!$A$6:$D$10668,4,0),"")</f>
        <v>717.8843733333332</v>
      </c>
      <c r="O96" s="190"/>
    </row>
    <row r="97" spans="1:15" ht="12.2" customHeight="1" x14ac:dyDescent="0.25">
      <c r="A97" s="199" t="s">
        <v>252</v>
      </c>
      <c r="B97" s="190" t="s">
        <v>240</v>
      </c>
      <c r="C97" s="190" t="s">
        <v>253</v>
      </c>
      <c r="D97" s="191">
        <v>8000</v>
      </c>
      <c r="E97" s="192">
        <v>3300</v>
      </c>
      <c r="F97" s="193">
        <f t="shared" si="4"/>
        <v>2710</v>
      </c>
      <c r="G97" s="194">
        <f t="shared" si="5"/>
        <v>2810</v>
      </c>
      <c r="H97" s="195">
        <f t="shared" si="6"/>
        <v>2970</v>
      </c>
      <c r="I97" s="192">
        <f t="shared" si="7"/>
        <v>3140</v>
      </c>
      <c r="J97" s="196"/>
      <c r="K97" s="196"/>
      <c r="L97" s="198" t="str">
        <f>IFERROR(VLOOKUP(#REF!,'[3]0-LPM'!$A$6:$D$10668,4,0),"")</f>
        <v/>
      </c>
      <c r="M97" s="188"/>
      <c r="N97" s="198">
        <f>IFERROR(VLOOKUP(A97,'[3]0-LPM'!$A$6:$D$10668,4,0),"")</f>
        <v>179.4710933333333</v>
      </c>
      <c r="O97" s="190"/>
    </row>
    <row r="98" spans="1:15" ht="12.2" customHeight="1" x14ac:dyDescent="0.25">
      <c r="A98" s="199" t="s">
        <v>254</v>
      </c>
      <c r="B98" s="190" t="s">
        <v>240</v>
      </c>
      <c r="C98" s="190" t="s">
        <v>255</v>
      </c>
      <c r="D98" s="191">
        <v>33700</v>
      </c>
      <c r="E98" s="192">
        <v>13500</v>
      </c>
      <c r="F98" s="193">
        <f t="shared" si="4"/>
        <v>11070</v>
      </c>
      <c r="G98" s="194">
        <f t="shared" si="5"/>
        <v>11480</v>
      </c>
      <c r="H98" s="195">
        <f t="shared" si="6"/>
        <v>12150</v>
      </c>
      <c r="I98" s="192">
        <f t="shared" si="7"/>
        <v>12830</v>
      </c>
      <c r="J98" s="196"/>
      <c r="K98" s="196"/>
      <c r="L98" s="198" t="str">
        <f>IFERROR(VLOOKUP(#REF!,'[3]0-LPM'!$A$6:$D$10668,4,0),"")</f>
        <v/>
      </c>
      <c r="M98" s="188"/>
      <c r="N98" s="198">
        <f>IFERROR(VLOOKUP(A98,'[3]0-LPM'!$A$6:$D$10668,4,0),"")</f>
        <v>961.45228571428561</v>
      </c>
      <c r="O98" s="190"/>
    </row>
    <row r="99" spans="1:15" ht="12.2" customHeight="1" x14ac:dyDescent="0.25">
      <c r="A99" s="199" t="s">
        <v>256</v>
      </c>
      <c r="B99" s="190" t="s">
        <v>240</v>
      </c>
      <c r="C99" s="190" t="s">
        <v>257</v>
      </c>
      <c r="D99" s="191">
        <v>8500</v>
      </c>
      <c r="E99" s="192">
        <v>3300</v>
      </c>
      <c r="F99" s="193">
        <f t="shared" si="4"/>
        <v>2710</v>
      </c>
      <c r="G99" s="194">
        <f t="shared" si="5"/>
        <v>2810</v>
      </c>
      <c r="H99" s="195">
        <f t="shared" si="6"/>
        <v>2970</v>
      </c>
      <c r="I99" s="192">
        <f t="shared" si="7"/>
        <v>3140</v>
      </c>
      <c r="J99" s="196"/>
      <c r="K99" s="196"/>
      <c r="L99" s="198" t="str">
        <f>IFERROR(VLOOKUP(#REF!,'[3]0-LPM'!$A$6:$D$10668,4,0),"")</f>
        <v/>
      </c>
      <c r="M99" s="188"/>
      <c r="N99" s="198">
        <f>IFERROR(VLOOKUP(A99,'[3]0-LPM'!$A$6:$D$10668,4,0),"")</f>
        <v>240.3630714285714</v>
      </c>
      <c r="O99" s="190"/>
    </row>
    <row r="100" spans="1:15" ht="12.2" customHeight="1" x14ac:dyDescent="0.25">
      <c r="A100" s="199" t="s">
        <v>258</v>
      </c>
      <c r="B100" s="190" t="s">
        <v>240</v>
      </c>
      <c r="C100" s="190" t="s">
        <v>259</v>
      </c>
      <c r="D100" s="191">
        <v>13200</v>
      </c>
      <c r="E100" s="192">
        <v>4300</v>
      </c>
      <c r="F100" s="193">
        <f t="shared" si="4"/>
        <v>3530</v>
      </c>
      <c r="G100" s="194">
        <f t="shared" si="5"/>
        <v>3660</v>
      </c>
      <c r="H100" s="195">
        <f t="shared" si="6"/>
        <v>3870</v>
      </c>
      <c r="I100" s="192">
        <f t="shared" si="7"/>
        <v>4090</v>
      </c>
      <c r="J100" s="196"/>
      <c r="K100" s="196"/>
      <c r="L100" s="198" t="str">
        <f>IFERROR(VLOOKUP(#REF!,'[3]0-LPM'!$A$6:$D$10668,4,0),"")</f>
        <v/>
      </c>
      <c r="M100" s="188"/>
      <c r="N100" s="198">
        <f>IFERROR(VLOOKUP(A100,'[3]0-LPM'!$A$6:$D$10668,4,0),"")</f>
        <v>350.56453636363636</v>
      </c>
      <c r="O100" s="190"/>
    </row>
    <row r="101" spans="1:15" ht="12.2" customHeight="1" x14ac:dyDescent="0.25">
      <c r="A101" s="199" t="s">
        <v>260</v>
      </c>
      <c r="B101" s="190" t="s">
        <v>240</v>
      </c>
      <c r="C101" s="190" t="s">
        <v>261</v>
      </c>
      <c r="D101" s="191">
        <v>3400</v>
      </c>
      <c r="E101" s="192">
        <v>1700</v>
      </c>
      <c r="F101" s="193">
        <f t="shared" si="4"/>
        <v>1390</v>
      </c>
      <c r="G101" s="194">
        <f t="shared" si="5"/>
        <v>1450</v>
      </c>
      <c r="H101" s="195">
        <f t="shared" si="6"/>
        <v>1530</v>
      </c>
      <c r="I101" s="192">
        <f t="shared" si="7"/>
        <v>1620</v>
      </c>
      <c r="J101" s="196"/>
      <c r="K101" s="196"/>
      <c r="L101" s="198" t="str">
        <f>IFERROR(VLOOKUP(#REF!,'[3]0-LPM'!$A$6:$D$10668,4,0),"")</f>
        <v/>
      </c>
      <c r="M101" s="188"/>
      <c r="N101" s="198">
        <f>IFERROR(VLOOKUP(A101,'[3]0-LPM'!$A$6:$D$10668,4,0),"")</f>
        <v>87.641134090909091</v>
      </c>
      <c r="O101" s="190"/>
    </row>
    <row r="102" spans="1:15" ht="12.2" customHeight="1" x14ac:dyDescent="0.25">
      <c r="A102" s="199" t="s">
        <v>262</v>
      </c>
      <c r="B102" s="190" t="s">
        <v>240</v>
      </c>
      <c r="C102" s="190" t="s">
        <v>263</v>
      </c>
      <c r="D102" s="191">
        <v>25500</v>
      </c>
      <c r="E102" s="192">
        <v>16800</v>
      </c>
      <c r="F102" s="193">
        <f t="shared" si="4"/>
        <v>13780</v>
      </c>
      <c r="G102" s="194">
        <f t="shared" si="5"/>
        <v>14280</v>
      </c>
      <c r="H102" s="195">
        <f t="shared" si="6"/>
        <v>15120</v>
      </c>
      <c r="I102" s="192">
        <f t="shared" si="7"/>
        <v>15960</v>
      </c>
      <c r="J102" s="196"/>
      <c r="K102" s="196"/>
      <c r="L102" s="198" t="str">
        <f>IFERROR(VLOOKUP(#REF!,'[3]0-LPM'!$A$6:$D$10668,4,0),"")</f>
        <v/>
      </c>
      <c r="M102" s="188"/>
      <c r="N102" s="198">
        <f>IFERROR(VLOOKUP(A102,'[3]0-LPM'!$A$6:$D$10668,4,0),"")</f>
        <v>1034.2062000000001</v>
      </c>
      <c r="O102" s="190"/>
    </row>
    <row r="103" spans="1:15" ht="12.2" customHeight="1" x14ac:dyDescent="0.25">
      <c r="A103" s="199" t="s">
        <v>264</v>
      </c>
      <c r="B103" s="190" t="s">
        <v>240</v>
      </c>
      <c r="C103" s="190" t="s">
        <v>265</v>
      </c>
      <c r="D103" s="191">
        <v>3900</v>
      </c>
      <c r="E103" s="192">
        <v>1700</v>
      </c>
      <c r="F103" s="193">
        <f t="shared" si="4"/>
        <v>1390</v>
      </c>
      <c r="G103" s="194">
        <f t="shared" si="5"/>
        <v>1450</v>
      </c>
      <c r="H103" s="195">
        <f t="shared" si="6"/>
        <v>1530</v>
      </c>
      <c r="I103" s="192">
        <f t="shared" si="7"/>
        <v>1620</v>
      </c>
      <c r="J103" s="196"/>
      <c r="K103" s="196"/>
      <c r="L103" s="198" t="str">
        <f>IFERROR(VLOOKUP(#REF!,'[3]0-LPM'!$A$6:$D$10668,4,0),"")</f>
        <v/>
      </c>
      <c r="M103" s="188"/>
      <c r="N103" s="198">
        <f>IFERROR(VLOOKUP(A103,'[3]0-LPM'!$A$6:$D$10668,4,0),"")</f>
        <v>252.810495</v>
      </c>
      <c r="O103" s="190"/>
    </row>
    <row r="104" spans="1:15" ht="12.2" customHeight="1" x14ac:dyDescent="0.25">
      <c r="A104" s="199" t="s">
        <v>266</v>
      </c>
      <c r="B104" s="190" t="s">
        <v>240</v>
      </c>
      <c r="C104" s="190" t="s">
        <v>267</v>
      </c>
      <c r="D104" s="191">
        <v>15500</v>
      </c>
      <c r="E104" s="192">
        <v>5500</v>
      </c>
      <c r="F104" s="193">
        <f t="shared" si="4"/>
        <v>4510</v>
      </c>
      <c r="G104" s="194">
        <f t="shared" si="5"/>
        <v>4680</v>
      </c>
      <c r="H104" s="195">
        <f t="shared" si="6"/>
        <v>4950</v>
      </c>
      <c r="I104" s="192">
        <f t="shared" si="7"/>
        <v>5230</v>
      </c>
      <c r="J104" s="196"/>
      <c r="K104" s="196"/>
      <c r="L104" s="198" t="str">
        <f>IFERROR(VLOOKUP(#REF!,'[3]0-LPM'!$A$6:$D$10668,4,0),"")</f>
        <v/>
      </c>
      <c r="M104" s="188"/>
      <c r="N104" s="198">
        <f>IFERROR(VLOOKUP(A104,'[3]0-LPM'!$A$6:$D$10668,4,0),"")</f>
        <v>1011.24198</v>
      </c>
      <c r="O104" s="190"/>
    </row>
    <row r="105" spans="1:15" ht="12.2" customHeight="1" x14ac:dyDescent="0.25">
      <c r="A105" s="199" t="s">
        <v>268</v>
      </c>
      <c r="B105" s="190" t="s">
        <v>240</v>
      </c>
      <c r="C105" s="190" t="s">
        <v>269</v>
      </c>
      <c r="D105" s="191">
        <v>9700</v>
      </c>
      <c r="E105" s="192">
        <v>5700</v>
      </c>
      <c r="F105" s="193">
        <f t="shared" si="4"/>
        <v>4670</v>
      </c>
      <c r="G105" s="194">
        <f t="shared" si="5"/>
        <v>4850</v>
      </c>
      <c r="H105" s="195">
        <f t="shared" si="6"/>
        <v>5130</v>
      </c>
      <c r="I105" s="192">
        <f t="shared" si="7"/>
        <v>5420</v>
      </c>
      <c r="J105" s="196"/>
      <c r="K105" s="196"/>
      <c r="L105" s="198" t="str">
        <f>IFERROR(VLOOKUP(#REF!,'[3]0-LPM'!$A$6:$D$10668,4,0),"")</f>
        <v/>
      </c>
      <c r="M105" s="188"/>
      <c r="N105" s="198">
        <f>IFERROR(VLOOKUP(A105,'[3]0-LPM'!$A$6:$D$10668,4,0),"")</f>
        <v>1651.8170666666667</v>
      </c>
      <c r="O105" s="190"/>
    </row>
    <row r="106" spans="1:15" ht="12.2" customHeight="1" x14ac:dyDescent="0.25">
      <c r="A106" s="199" t="s">
        <v>270</v>
      </c>
      <c r="B106" s="190" t="s">
        <v>240</v>
      </c>
      <c r="C106" s="190" t="s">
        <v>271</v>
      </c>
      <c r="D106" s="191">
        <v>23200</v>
      </c>
      <c r="E106" s="192">
        <v>10000</v>
      </c>
      <c r="F106" s="193">
        <f t="shared" si="4"/>
        <v>8200</v>
      </c>
      <c r="G106" s="194">
        <f t="shared" si="5"/>
        <v>8500</v>
      </c>
      <c r="H106" s="195">
        <f t="shared" si="6"/>
        <v>9000</v>
      </c>
      <c r="I106" s="192">
        <f t="shared" si="7"/>
        <v>9500</v>
      </c>
      <c r="J106" s="196"/>
      <c r="K106" s="196"/>
      <c r="L106" s="198" t="str">
        <f>IFERROR(VLOOKUP(#REF!,'[3]0-LPM'!$A$6:$D$10668,4,0),"")</f>
        <v/>
      </c>
      <c r="M106" s="188"/>
      <c r="N106" s="198">
        <f>IFERROR(VLOOKUP(A106,'[3]0-LPM'!$A$6:$D$10668,4,0),"")</f>
        <v>3197.1047500000004</v>
      </c>
      <c r="O106" s="190"/>
    </row>
    <row r="107" spans="1:15" ht="12.2" customHeight="1" x14ac:dyDescent="0.25">
      <c r="A107" s="199" t="s">
        <v>272</v>
      </c>
      <c r="B107" s="190" t="s">
        <v>240</v>
      </c>
      <c r="C107" s="190" t="s">
        <v>273</v>
      </c>
      <c r="D107" s="191">
        <v>5700</v>
      </c>
      <c r="E107" s="192">
        <v>4300</v>
      </c>
      <c r="F107" s="193">
        <f t="shared" si="4"/>
        <v>3530</v>
      </c>
      <c r="G107" s="194">
        <f t="shared" si="5"/>
        <v>3660</v>
      </c>
      <c r="H107" s="195">
        <f t="shared" si="6"/>
        <v>3870</v>
      </c>
      <c r="I107" s="192">
        <f t="shared" si="7"/>
        <v>4090</v>
      </c>
      <c r="J107" s="196"/>
      <c r="K107" s="196"/>
      <c r="L107" s="198" t="str">
        <f>IFERROR(VLOOKUP(#REF!,'[3]0-LPM'!$A$6:$D$10668,4,0),"")</f>
        <v/>
      </c>
      <c r="M107" s="188"/>
      <c r="N107" s="198">
        <f>IFERROR(VLOOKUP(A107,'[3]0-LPM'!$A$6:$D$10668,4,0),"")</f>
        <v>799.27618750000011</v>
      </c>
      <c r="O107" s="190"/>
    </row>
    <row r="108" spans="1:15" ht="12.2" customHeight="1" x14ac:dyDescent="0.25">
      <c r="A108" s="199" t="s">
        <v>274</v>
      </c>
      <c r="B108" s="190" t="s">
        <v>240</v>
      </c>
      <c r="C108" s="190" t="s">
        <v>275</v>
      </c>
      <c r="D108" s="191">
        <v>23200</v>
      </c>
      <c r="E108" s="192">
        <v>7200</v>
      </c>
      <c r="F108" s="193">
        <f t="shared" si="4"/>
        <v>5900</v>
      </c>
      <c r="G108" s="194">
        <f t="shared" si="5"/>
        <v>6120</v>
      </c>
      <c r="H108" s="195">
        <f t="shared" si="6"/>
        <v>6480</v>
      </c>
      <c r="I108" s="192">
        <f t="shared" si="7"/>
        <v>6840</v>
      </c>
      <c r="J108" s="196"/>
      <c r="K108" s="196"/>
      <c r="L108" s="198" t="str">
        <f>IFERROR(VLOOKUP(#REF!,'[3]0-LPM'!$A$6:$D$10668,4,0),"")</f>
        <v/>
      </c>
      <c r="M108" s="188"/>
      <c r="N108" s="198">
        <f>IFERROR(VLOOKUP(A108,'[3]0-LPM'!$A$6:$D$10668,4,0),"")</f>
        <v>990.05079999999998</v>
      </c>
      <c r="O108" s="190"/>
    </row>
    <row r="109" spans="1:15" ht="12.2" customHeight="1" x14ac:dyDescent="0.25">
      <c r="A109" s="199" t="s">
        <v>276</v>
      </c>
      <c r="B109" s="190" t="s">
        <v>240</v>
      </c>
      <c r="C109" s="190" t="s">
        <v>277</v>
      </c>
      <c r="D109" s="191">
        <v>23200</v>
      </c>
      <c r="E109" s="192">
        <v>7200</v>
      </c>
      <c r="F109" s="193">
        <f t="shared" si="4"/>
        <v>5900</v>
      </c>
      <c r="G109" s="194">
        <f t="shared" si="5"/>
        <v>6120</v>
      </c>
      <c r="H109" s="195">
        <f t="shared" si="6"/>
        <v>6480</v>
      </c>
      <c r="I109" s="192">
        <f t="shared" si="7"/>
        <v>6840</v>
      </c>
      <c r="J109" s="196"/>
      <c r="K109" s="196"/>
      <c r="L109" s="198" t="str">
        <f>IFERROR(VLOOKUP(#REF!,'[3]0-LPM'!$A$6:$D$10668,4,0),"")</f>
        <v/>
      </c>
      <c r="M109" s="188"/>
      <c r="N109" s="198">
        <f>IFERROR(VLOOKUP(A109,'[3]0-LPM'!$A$6:$D$10668,4,0),"")</f>
        <v>0</v>
      </c>
      <c r="O109" s="190"/>
    </row>
    <row r="110" spans="1:15" ht="12.2" customHeight="1" x14ac:dyDescent="0.25">
      <c r="A110" s="199" t="s">
        <v>278</v>
      </c>
      <c r="B110" s="190" t="s">
        <v>240</v>
      </c>
      <c r="C110" s="190" t="s">
        <v>279</v>
      </c>
      <c r="D110" s="191">
        <v>1000</v>
      </c>
      <c r="E110" s="192">
        <v>500</v>
      </c>
      <c r="F110" s="193">
        <f t="shared" si="4"/>
        <v>410</v>
      </c>
      <c r="G110" s="194">
        <f t="shared" si="5"/>
        <v>430</v>
      </c>
      <c r="H110" s="195">
        <f t="shared" si="6"/>
        <v>450</v>
      </c>
      <c r="I110" s="192">
        <f t="shared" si="7"/>
        <v>480</v>
      </c>
      <c r="J110" s="196"/>
      <c r="K110" s="196"/>
      <c r="L110" s="198" t="str">
        <f>IFERROR(VLOOKUP(#REF!,'[3]0-LPM'!$A$6:$D$10668,4,0),"")</f>
        <v/>
      </c>
      <c r="M110" s="188"/>
      <c r="N110" s="198">
        <f>IFERROR(VLOOKUP(A110,'[3]0-LPM'!$A$6:$D$10668,4,0),"")</f>
        <v>40.065674999999999</v>
      </c>
      <c r="O110" s="190"/>
    </row>
    <row r="111" spans="1:15" ht="12.2" customHeight="1" x14ac:dyDescent="0.25">
      <c r="A111" s="199" t="s">
        <v>280</v>
      </c>
      <c r="B111" s="190" t="s">
        <v>240</v>
      </c>
      <c r="C111" s="190" t="s">
        <v>281</v>
      </c>
      <c r="D111" s="191">
        <v>1500</v>
      </c>
      <c r="E111" s="192">
        <v>700</v>
      </c>
      <c r="F111" s="193">
        <f t="shared" si="4"/>
        <v>570</v>
      </c>
      <c r="G111" s="194">
        <f t="shared" si="5"/>
        <v>600</v>
      </c>
      <c r="H111" s="195">
        <f t="shared" si="6"/>
        <v>630</v>
      </c>
      <c r="I111" s="192">
        <f t="shared" si="7"/>
        <v>670</v>
      </c>
      <c r="J111" s="196"/>
      <c r="K111" s="196"/>
      <c r="L111" s="198" t="str">
        <f>IFERROR(VLOOKUP(#REF!,'[3]0-LPM'!$A$6:$D$10668,4,0),"")</f>
        <v/>
      </c>
      <c r="M111" s="188"/>
      <c r="N111" s="198">
        <f>IFERROR(VLOOKUP(A111,'[3]0-LPM'!$A$6:$D$10668,4,0),"")</f>
        <v>80.131349999999998</v>
      </c>
      <c r="O111" s="190"/>
    </row>
    <row r="112" spans="1:15" ht="12.2" customHeight="1" x14ac:dyDescent="0.25">
      <c r="A112" s="199" t="s">
        <v>282</v>
      </c>
      <c r="B112" s="190" t="s">
        <v>240</v>
      </c>
      <c r="C112" s="190" t="s">
        <v>283</v>
      </c>
      <c r="D112" s="191">
        <v>4000</v>
      </c>
      <c r="E112" s="192">
        <v>1700</v>
      </c>
      <c r="F112" s="193">
        <f t="shared" si="4"/>
        <v>1390</v>
      </c>
      <c r="G112" s="194">
        <f t="shared" si="5"/>
        <v>1450</v>
      </c>
      <c r="H112" s="195">
        <f t="shared" si="6"/>
        <v>1530</v>
      </c>
      <c r="I112" s="192">
        <f t="shared" si="7"/>
        <v>1620</v>
      </c>
      <c r="J112" s="196"/>
      <c r="K112" s="196"/>
      <c r="L112" s="198" t="str">
        <f>IFERROR(VLOOKUP(#REF!,'[3]0-LPM'!$A$6:$D$10668,4,0),"")</f>
        <v/>
      </c>
      <c r="M112" s="188"/>
      <c r="N112" s="198">
        <f>IFERROR(VLOOKUP(A112,'[3]0-LPM'!$A$6:$D$10668,4,0),"")</f>
        <v>240.39404999999999</v>
      </c>
      <c r="O112" s="190"/>
    </row>
    <row r="113" spans="1:15" ht="12.2" customHeight="1" x14ac:dyDescent="0.25">
      <c r="A113" s="199" t="s">
        <v>284</v>
      </c>
      <c r="B113" s="190" t="s">
        <v>240</v>
      </c>
      <c r="C113" s="190" t="s">
        <v>285</v>
      </c>
      <c r="D113" s="191">
        <v>8000</v>
      </c>
      <c r="E113" s="192">
        <v>3400</v>
      </c>
      <c r="F113" s="193">
        <f t="shared" si="4"/>
        <v>2790</v>
      </c>
      <c r="G113" s="194">
        <f t="shared" si="5"/>
        <v>2890</v>
      </c>
      <c r="H113" s="195">
        <f t="shared" si="6"/>
        <v>3060</v>
      </c>
      <c r="I113" s="192">
        <f t="shared" si="7"/>
        <v>3230</v>
      </c>
      <c r="J113" s="196"/>
      <c r="K113" s="196"/>
      <c r="L113" s="198" t="str">
        <f>IFERROR(VLOOKUP(#REF!,'[3]0-LPM'!$A$6:$D$10668,4,0),"")</f>
        <v/>
      </c>
      <c r="M113" s="188"/>
      <c r="N113" s="198">
        <f>IFERROR(VLOOKUP(A113,'[3]0-LPM'!$A$6:$D$10668,4,0),"")</f>
        <v>480.78809999999999</v>
      </c>
      <c r="O113" s="190"/>
    </row>
    <row r="114" spans="1:15" ht="12.2" customHeight="1" x14ac:dyDescent="0.25">
      <c r="A114" s="199" t="s">
        <v>286</v>
      </c>
      <c r="B114" s="190" t="s">
        <v>240</v>
      </c>
      <c r="C114" s="190" t="s">
        <v>287</v>
      </c>
      <c r="D114" s="191">
        <v>7700</v>
      </c>
      <c r="E114" s="192">
        <v>5500</v>
      </c>
      <c r="F114" s="193">
        <f t="shared" si="4"/>
        <v>4510</v>
      </c>
      <c r="G114" s="194">
        <f t="shared" si="5"/>
        <v>4680</v>
      </c>
      <c r="H114" s="195">
        <f t="shared" si="6"/>
        <v>4950</v>
      </c>
      <c r="I114" s="192">
        <f t="shared" si="7"/>
        <v>5230</v>
      </c>
      <c r="J114" s="196"/>
      <c r="K114" s="196"/>
      <c r="L114" s="198" t="str">
        <f>IFERROR(VLOOKUP(#REF!,'[3]0-LPM'!$A$6:$D$10668,4,0),"")</f>
        <v/>
      </c>
      <c r="M114" s="188"/>
      <c r="N114" s="198">
        <f>IFERROR(VLOOKUP(A114,'[3]0-LPM'!$A$6:$D$10668,4,0),"")</f>
        <v>506.75131249999998</v>
      </c>
      <c r="O114" s="190"/>
    </row>
    <row r="115" spans="1:15" ht="12.2" customHeight="1" x14ac:dyDescent="0.25">
      <c r="A115" s="199" t="s">
        <v>288</v>
      </c>
      <c r="B115" s="190" t="s">
        <v>240</v>
      </c>
      <c r="C115" s="190" t="s">
        <v>289</v>
      </c>
      <c r="D115" s="191">
        <v>8000</v>
      </c>
      <c r="E115" s="192">
        <v>6300</v>
      </c>
      <c r="F115" s="193">
        <f t="shared" si="4"/>
        <v>5170</v>
      </c>
      <c r="G115" s="194">
        <f t="shared" si="5"/>
        <v>5360</v>
      </c>
      <c r="H115" s="195">
        <f t="shared" si="6"/>
        <v>5670</v>
      </c>
      <c r="I115" s="192">
        <f t="shared" si="7"/>
        <v>5990</v>
      </c>
      <c r="J115" s="196"/>
      <c r="K115" s="196"/>
      <c r="L115" s="198" t="str">
        <f>IFERROR(VLOOKUP(#REF!,'[3]0-LPM'!$A$6:$D$10668,4,0),"")</f>
        <v/>
      </c>
      <c r="M115" s="188"/>
      <c r="N115" s="198">
        <f>IFERROR(VLOOKUP(A115,'[3]0-LPM'!$A$6:$D$10668,4,0),"")</f>
        <v>612.68264999999997</v>
      </c>
      <c r="O115" s="190"/>
    </row>
    <row r="116" spans="1:15" ht="12.2" customHeight="1" x14ac:dyDescent="0.25">
      <c r="A116" s="199" t="s">
        <v>290</v>
      </c>
      <c r="B116" s="190" t="s">
        <v>240</v>
      </c>
      <c r="C116" s="190" t="s">
        <v>291</v>
      </c>
      <c r="D116" s="191">
        <v>23200</v>
      </c>
      <c r="E116" s="192">
        <v>7200</v>
      </c>
      <c r="F116" s="193">
        <f t="shared" si="4"/>
        <v>5900</v>
      </c>
      <c r="G116" s="194">
        <f t="shared" si="5"/>
        <v>6120</v>
      </c>
      <c r="H116" s="195">
        <f t="shared" si="6"/>
        <v>6480</v>
      </c>
      <c r="I116" s="192">
        <f t="shared" si="7"/>
        <v>6840</v>
      </c>
      <c r="J116" s="196"/>
      <c r="K116" s="196"/>
      <c r="L116" s="198" t="str">
        <f>IFERROR(VLOOKUP(#REF!,'[3]0-LPM'!$A$6:$D$10668,4,0),"")</f>
        <v/>
      </c>
      <c r="M116" s="188"/>
      <c r="N116" s="198">
        <f>IFERROR(VLOOKUP(A116,'[3]0-LPM'!$A$6:$D$10668,4,0),"")</f>
        <v>0</v>
      </c>
      <c r="O116" s="190"/>
    </row>
    <row r="117" spans="1:15" ht="12.2" customHeight="1" x14ac:dyDescent="0.25">
      <c r="A117" s="199" t="s">
        <v>292</v>
      </c>
      <c r="B117" s="190" t="s">
        <v>240</v>
      </c>
      <c r="C117" s="190" t="s">
        <v>293</v>
      </c>
      <c r="D117" s="191">
        <v>0</v>
      </c>
      <c r="E117" s="192">
        <v>2800</v>
      </c>
      <c r="F117" s="193">
        <f t="shared" si="4"/>
        <v>2300</v>
      </c>
      <c r="G117" s="194">
        <f t="shared" si="5"/>
        <v>2380</v>
      </c>
      <c r="H117" s="195">
        <f t="shared" si="6"/>
        <v>2520</v>
      </c>
      <c r="I117" s="192">
        <f t="shared" si="7"/>
        <v>2660</v>
      </c>
      <c r="J117" s="196"/>
      <c r="K117" s="196"/>
      <c r="L117" s="198" t="str">
        <f>IFERROR(VLOOKUP(#REF!,'[3]0-LPM'!$A$6:$D$10668,4,0),"")</f>
        <v/>
      </c>
      <c r="M117" s="188"/>
      <c r="N117" s="198" t="str">
        <f>IFERROR(VLOOKUP(A117,'[3]0-LPM'!$A$6:$D$10668,4,0),"")</f>
        <v/>
      </c>
      <c r="O117" s="190"/>
    </row>
    <row r="118" spans="1:15" ht="12.2" customHeight="1" x14ac:dyDescent="0.25">
      <c r="A118" s="204"/>
      <c r="B118" s="205"/>
      <c r="C118" s="206" t="str">
        <f>+B119</f>
        <v>CREMONAS</v>
      </c>
      <c r="D118" s="191">
        <v>0</v>
      </c>
      <c r="E118" s="192">
        <v>0</v>
      </c>
      <c r="F118" s="193">
        <f t="shared" si="4"/>
        <v>0</v>
      </c>
      <c r="G118" s="194">
        <f t="shared" si="5"/>
        <v>0</v>
      </c>
      <c r="H118" s="195">
        <f t="shared" si="6"/>
        <v>0</v>
      </c>
      <c r="I118" s="192">
        <f t="shared" si="7"/>
        <v>0</v>
      </c>
      <c r="J118" s="196"/>
      <c r="K118" s="196"/>
      <c r="L118" s="198" t="str">
        <f>IFERROR(VLOOKUP(#REF!,'[3]0-LPM'!$A$6:$D$10668,4,0),"")</f>
        <v/>
      </c>
      <c r="M118" s="188"/>
      <c r="N118" s="198" t="str">
        <f>IFERROR(VLOOKUP(A118,'[3]0-LPM'!$A$6:$D$10668,4,0),"")</f>
        <v/>
      </c>
      <c r="O118" s="206"/>
    </row>
    <row r="119" spans="1:15" ht="12.2" customHeight="1" x14ac:dyDescent="0.25">
      <c r="A119" s="189" t="s">
        <v>18</v>
      </c>
      <c r="B119" s="190" t="s">
        <v>294</v>
      </c>
      <c r="C119" s="190" t="s">
        <v>295</v>
      </c>
      <c r="D119" s="191">
        <v>700</v>
      </c>
      <c r="E119" s="192">
        <v>400</v>
      </c>
      <c r="F119" s="193">
        <f t="shared" si="4"/>
        <v>330</v>
      </c>
      <c r="G119" s="194">
        <f t="shared" si="5"/>
        <v>340</v>
      </c>
      <c r="H119" s="195">
        <f t="shared" si="6"/>
        <v>360</v>
      </c>
      <c r="I119" s="192">
        <f t="shared" si="7"/>
        <v>380</v>
      </c>
      <c r="J119" s="196"/>
      <c r="K119" s="196"/>
      <c r="L119" s="198" t="str">
        <f>IFERROR(VLOOKUP(#REF!,'[3]0-LPM'!$A$6:$D$10668,4,0),"")</f>
        <v/>
      </c>
      <c r="M119" s="188"/>
      <c r="N119" s="198">
        <f>IFERROR(VLOOKUP(A119,'[3]0-LPM'!$A$6:$D$10668,4,0),"")</f>
        <v>124.48455619047618</v>
      </c>
      <c r="O119" s="190"/>
    </row>
    <row r="120" spans="1:15" ht="12.2" customHeight="1" x14ac:dyDescent="0.25">
      <c r="A120" s="189" t="s">
        <v>19</v>
      </c>
      <c r="B120" s="190" t="s">
        <v>294</v>
      </c>
      <c r="C120" s="190" t="s">
        <v>296</v>
      </c>
      <c r="D120" s="191">
        <v>3400</v>
      </c>
      <c r="E120" s="192">
        <v>2400</v>
      </c>
      <c r="F120" s="193">
        <f t="shared" si="4"/>
        <v>1970</v>
      </c>
      <c r="G120" s="194">
        <f t="shared" si="5"/>
        <v>2040</v>
      </c>
      <c r="H120" s="195">
        <f t="shared" si="6"/>
        <v>2160</v>
      </c>
      <c r="I120" s="192">
        <f t="shared" si="7"/>
        <v>2280</v>
      </c>
      <c r="J120" s="196"/>
      <c r="K120" s="196"/>
      <c r="L120" s="198" t="str">
        <f>IFERROR(VLOOKUP(#REF!,'[3]0-LPM'!$A$6:$D$10668,4,0),"")</f>
        <v/>
      </c>
      <c r="M120" s="188"/>
      <c r="N120" s="198">
        <f>IFERROR(VLOOKUP(A120,'[3]0-LPM'!$A$6:$D$10668,4,0),"")</f>
        <v>905.23702666666657</v>
      </c>
      <c r="O120" s="190"/>
    </row>
    <row r="121" spans="1:15" ht="12.2" customHeight="1" x14ac:dyDescent="0.25">
      <c r="A121" s="189" t="s">
        <v>20</v>
      </c>
      <c r="B121" s="190" t="s">
        <v>294</v>
      </c>
      <c r="C121" s="190" t="s">
        <v>297</v>
      </c>
      <c r="D121" s="191">
        <v>4700</v>
      </c>
      <c r="E121" s="192">
        <v>2400</v>
      </c>
      <c r="F121" s="193">
        <f t="shared" si="4"/>
        <v>1970</v>
      </c>
      <c r="G121" s="194">
        <f t="shared" si="5"/>
        <v>2040</v>
      </c>
      <c r="H121" s="195">
        <f t="shared" si="6"/>
        <v>2160</v>
      </c>
      <c r="I121" s="192">
        <f t="shared" si="7"/>
        <v>2280</v>
      </c>
      <c r="J121" s="196"/>
      <c r="K121" s="196"/>
      <c r="L121" s="198" t="str">
        <f>IFERROR(VLOOKUP(#REF!,'[3]0-LPM'!$A$6:$D$10668,4,0),"")</f>
        <v/>
      </c>
      <c r="M121" s="188"/>
      <c r="N121" s="198">
        <f>IFERROR(VLOOKUP(A121,'[3]0-LPM'!$A$6:$D$10668,4,0),"")</f>
        <v>946.97902666666653</v>
      </c>
      <c r="O121" s="190"/>
    </row>
    <row r="122" spans="1:15" ht="12.2" customHeight="1" x14ac:dyDescent="0.25">
      <c r="A122" s="189" t="s">
        <v>21</v>
      </c>
      <c r="B122" s="190" t="s">
        <v>294</v>
      </c>
      <c r="C122" s="190" t="s">
        <v>298</v>
      </c>
      <c r="D122" s="191">
        <v>4700</v>
      </c>
      <c r="E122" s="192">
        <v>2400</v>
      </c>
      <c r="F122" s="193">
        <f t="shared" si="4"/>
        <v>1970</v>
      </c>
      <c r="G122" s="194">
        <f t="shared" si="5"/>
        <v>2040</v>
      </c>
      <c r="H122" s="195">
        <f t="shared" si="6"/>
        <v>2160</v>
      </c>
      <c r="I122" s="192">
        <f t="shared" si="7"/>
        <v>2280</v>
      </c>
      <c r="J122" s="196"/>
      <c r="K122" s="196"/>
      <c r="L122" s="198" t="str">
        <f>IFERROR(VLOOKUP(#REF!,'[3]0-LPM'!$A$6:$D$10668,4,0),"")</f>
        <v/>
      </c>
      <c r="M122" s="188"/>
      <c r="N122" s="198">
        <f>IFERROR(VLOOKUP(A122,'[3]0-LPM'!$A$6:$D$10668,4,0),"")</f>
        <v>1065.2370266666667</v>
      </c>
      <c r="O122" s="190"/>
    </row>
    <row r="123" spans="1:15" ht="12.2" customHeight="1" x14ac:dyDescent="0.25">
      <c r="A123" s="189" t="s">
        <v>22</v>
      </c>
      <c r="B123" s="190" t="s">
        <v>294</v>
      </c>
      <c r="C123" s="190" t="s">
        <v>299</v>
      </c>
      <c r="D123" s="191">
        <v>5000</v>
      </c>
      <c r="E123" s="192">
        <v>4000</v>
      </c>
      <c r="F123" s="193">
        <f t="shared" si="4"/>
        <v>3280</v>
      </c>
      <c r="G123" s="194">
        <f t="shared" si="5"/>
        <v>3400</v>
      </c>
      <c r="H123" s="195">
        <f t="shared" si="6"/>
        <v>3600</v>
      </c>
      <c r="I123" s="192">
        <f t="shared" si="7"/>
        <v>3800</v>
      </c>
      <c r="J123" s="196"/>
      <c r="K123" s="196"/>
      <c r="L123" s="198" t="str">
        <f>IFERROR(VLOOKUP(#REF!,'[3]0-LPM'!$A$6:$D$10668,4,0),"")</f>
        <v/>
      </c>
      <c r="M123" s="188"/>
      <c r="N123" s="198">
        <f>IFERROR(VLOOKUP(A123,'[3]0-LPM'!$A$6:$D$10668,4,0),"")</f>
        <v>1068.6976933333333</v>
      </c>
      <c r="O123" s="190"/>
    </row>
    <row r="124" spans="1:15" ht="12.2" customHeight="1" x14ac:dyDescent="0.25">
      <c r="A124" s="189" t="s">
        <v>300</v>
      </c>
      <c r="B124" s="190" t="s">
        <v>294</v>
      </c>
      <c r="C124" s="190" t="s">
        <v>301</v>
      </c>
      <c r="D124" s="191">
        <v>1100</v>
      </c>
      <c r="E124" s="192">
        <v>400</v>
      </c>
      <c r="F124" s="193">
        <f t="shared" si="4"/>
        <v>330</v>
      </c>
      <c r="G124" s="194">
        <f t="shared" si="5"/>
        <v>340</v>
      </c>
      <c r="H124" s="195">
        <f t="shared" si="6"/>
        <v>360</v>
      </c>
      <c r="I124" s="192">
        <f t="shared" si="7"/>
        <v>380</v>
      </c>
      <c r="J124" s="196"/>
      <c r="K124" s="196"/>
      <c r="L124" s="198" t="str">
        <f>IFERROR(VLOOKUP(#REF!,'[3]0-LPM'!$A$6:$D$10668,4,0),"")</f>
        <v/>
      </c>
      <c r="M124" s="188"/>
      <c r="N124" s="198" t="str">
        <f>IFERROR(VLOOKUP(A124,'[3]0-LPM'!$A$6:$D$10668,4,0),"")</f>
        <v/>
      </c>
      <c r="O124" s="190"/>
    </row>
    <row r="125" spans="1:15" ht="12.2" customHeight="1" x14ac:dyDescent="0.25">
      <c r="A125" s="204"/>
      <c r="B125" s="205"/>
      <c r="C125" s="206" t="str">
        <f>+B126</f>
        <v>PREPIZZA</v>
      </c>
      <c r="D125" s="191">
        <v>0</v>
      </c>
      <c r="E125" s="192">
        <v>0</v>
      </c>
      <c r="F125" s="193">
        <f t="shared" si="4"/>
        <v>0</v>
      </c>
      <c r="G125" s="194">
        <f t="shared" si="5"/>
        <v>0</v>
      </c>
      <c r="H125" s="195">
        <f t="shared" si="6"/>
        <v>0</v>
      </c>
      <c r="I125" s="192">
        <f t="shared" si="7"/>
        <v>0</v>
      </c>
      <c r="J125" s="196"/>
      <c r="K125" s="196"/>
      <c r="L125" s="198" t="str">
        <f>IFERROR(VLOOKUP(#REF!,'[3]0-LPM'!$A$6:$D$10668,4,0),"")</f>
        <v/>
      </c>
      <c r="M125" s="188"/>
      <c r="N125" s="198" t="str">
        <f>IFERROR(VLOOKUP(A125,'[3]0-LPM'!$A$6:$D$10668,4,0),"")</f>
        <v/>
      </c>
      <c r="O125" s="206"/>
    </row>
    <row r="126" spans="1:15" ht="12.2" customHeight="1" x14ac:dyDescent="0.25">
      <c r="A126" s="189" t="s">
        <v>302</v>
      </c>
      <c r="B126" s="190" t="s">
        <v>303</v>
      </c>
      <c r="C126" s="190" t="s">
        <v>304</v>
      </c>
      <c r="D126" s="191">
        <v>2100</v>
      </c>
      <c r="E126" s="192">
        <v>1200</v>
      </c>
      <c r="F126" s="193">
        <f t="shared" si="4"/>
        <v>980</v>
      </c>
      <c r="G126" s="194">
        <f t="shared" si="5"/>
        <v>1020</v>
      </c>
      <c r="H126" s="195">
        <f t="shared" si="6"/>
        <v>1080</v>
      </c>
      <c r="I126" s="192">
        <f t="shared" si="7"/>
        <v>1140</v>
      </c>
      <c r="J126" s="196"/>
      <c r="K126" s="196"/>
      <c r="L126" s="198" t="str">
        <f>IFERROR(VLOOKUP(#REF!,'[3]0-LPM'!$A$6:$D$10668,4,0),"")</f>
        <v/>
      </c>
      <c r="M126" s="188"/>
      <c r="N126" s="198">
        <f>IFERROR(VLOOKUP(A126,'[3]0-LPM'!$A$6:$D$10668,4,0),"")</f>
        <v>349.74575999999996</v>
      </c>
      <c r="O126" s="190"/>
    </row>
    <row r="127" spans="1:15" ht="12.2" customHeight="1" x14ac:dyDescent="0.25">
      <c r="A127" s="189" t="s">
        <v>305</v>
      </c>
      <c r="B127" s="190" t="s">
        <v>303</v>
      </c>
      <c r="C127" s="190" t="s">
        <v>306</v>
      </c>
      <c r="D127" s="191">
        <v>3600</v>
      </c>
      <c r="E127" s="192">
        <v>1500</v>
      </c>
      <c r="F127" s="193">
        <f t="shared" si="4"/>
        <v>1230</v>
      </c>
      <c r="G127" s="194">
        <f t="shared" si="5"/>
        <v>1280</v>
      </c>
      <c r="H127" s="195">
        <f t="shared" si="6"/>
        <v>1350</v>
      </c>
      <c r="I127" s="192">
        <f t="shared" si="7"/>
        <v>1430</v>
      </c>
      <c r="J127" s="196"/>
      <c r="K127" s="196"/>
      <c r="L127" s="198" t="str">
        <f>IFERROR(VLOOKUP(#REF!,'[3]0-LPM'!$A$6:$D$10668,4,0),"")</f>
        <v/>
      </c>
      <c r="M127" s="188"/>
      <c r="N127" s="198">
        <f>IFERROR(VLOOKUP(A127,'[3]0-LPM'!$A$6:$D$10668,4,0),"")</f>
        <v>699.49151999999992</v>
      </c>
      <c r="O127" s="190"/>
    </row>
    <row r="128" spans="1:15" ht="12.2" customHeight="1" x14ac:dyDescent="0.25">
      <c r="A128" s="189" t="s">
        <v>307</v>
      </c>
      <c r="B128" s="190" t="s">
        <v>303</v>
      </c>
      <c r="C128" s="190" t="s">
        <v>308</v>
      </c>
      <c r="D128" s="191">
        <v>2100</v>
      </c>
      <c r="E128" s="192">
        <v>1300</v>
      </c>
      <c r="F128" s="193">
        <f t="shared" si="4"/>
        <v>1070</v>
      </c>
      <c r="G128" s="194">
        <f t="shared" si="5"/>
        <v>1110</v>
      </c>
      <c r="H128" s="195">
        <f t="shared" si="6"/>
        <v>1170</v>
      </c>
      <c r="I128" s="192">
        <f t="shared" si="7"/>
        <v>1240</v>
      </c>
      <c r="J128" s="196"/>
      <c r="K128" s="196"/>
      <c r="L128" s="198" t="str">
        <f>IFERROR(VLOOKUP(#REF!,'[3]0-LPM'!$A$6:$D$10668,4,0),"")</f>
        <v/>
      </c>
      <c r="M128" s="188"/>
      <c r="N128" s="198">
        <f>IFERROR(VLOOKUP(A128,'[3]0-LPM'!$A$6:$D$10668,4,0),"")</f>
        <v>408.57423157894732</v>
      </c>
      <c r="O128" s="190"/>
    </row>
    <row r="129" spans="1:15" ht="12.2" customHeight="1" x14ac:dyDescent="0.25">
      <c r="A129" s="189" t="s">
        <v>309</v>
      </c>
      <c r="B129" s="190" t="s">
        <v>303</v>
      </c>
      <c r="C129" s="190" t="s">
        <v>310</v>
      </c>
      <c r="D129" s="191">
        <v>3900</v>
      </c>
      <c r="E129" s="192">
        <v>1700</v>
      </c>
      <c r="F129" s="193">
        <f t="shared" si="4"/>
        <v>1390</v>
      </c>
      <c r="G129" s="194">
        <f t="shared" si="5"/>
        <v>1450</v>
      </c>
      <c r="H129" s="195">
        <f t="shared" si="6"/>
        <v>1530</v>
      </c>
      <c r="I129" s="192">
        <f t="shared" si="7"/>
        <v>1620</v>
      </c>
      <c r="J129" s="196"/>
      <c r="K129" s="196"/>
      <c r="L129" s="198" t="str">
        <f>IFERROR(VLOOKUP(#REF!,'[3]0-LPM'!$A$6:$D$10668,4,0),"")</f>
        <v/>
      </c>
      <c r="M129" s="188"/>
      <c r="N129" s="198">
        <f>IFERROR(VLOOKUP(A129,'[3]0-LPM'!$A$6:$D$10668,4,0),"")</f>
        <v>817.14846315789464</v>
      </c>
      <c r="O129" s="190"/>
    </row>
    <row r="130" spans="1:15" ht="12.2" customHeight="1" x14ac:dyDescent="0.25">
      <c r="A130" s="189" t="s">
        <v>311</v>
      </c>
      <c r="B130" s="190" t="s">
        <v>303</v>
      </c>
      <c r="C130" s="190" t="s">
        <v>312</v>
      </c>
      <c r="D130" s="191">
        <v>1100</v>
      </c>
      <c r="E130" s="192">
        <v>900</v>
      </c>
      <c r="F130" s="193">
        <f t="shared" si="4"/>
        <v>740</v>
      </c>
      <c r="G130" s="194">
        <f t="shared" si="5"/>
        <v>770</v>
      </c>
      <c r="H130" s="195">
        <f t="shared" si="6"/>
        <v>810</v>
      </c>
      <c r="I130" s="192">
        <f t="shared" si="7"/>
        <v>860</v>
      </c>
      <c r="J130" s="196"/>
      <c r="K130" s="196"/>
      <c r="L130" s="198" t="str">
        <f>IFERROR(VLOOKUP(#REF!,'[3]0-LPM'!$A$6:$D$10668,4,0),"")</f>
        <v/>
      </c>
      <c r="M130" s="188"/>
      <c r="N130" s="198">
        <f>IFERROR(VLOOKUP(A130,'[3]0-LPM'!$A$6:$D$10668,4,0),"")</f>
        <v>174.37149333333335</v>
      </c>
      <c r="O130" s="190"/>
    </row>
    <row r="131" spans="1:15" ht="12.2" customHeight="1" x14ac:dyDescent="0.25">
      <c r="A131" s="189" t="s">
        <v>313</v>
      </c>
      <c r="B131" s="190" t="s">
        <v>303</v>
      </c>
      <c r="C131" s="190" t="s">
        <v>314</v>
      </c>
      <c r="D131" s="191">
        <v>1900</v>
      </c>
      <c r="E131" s="192">
        <v>1400</v>
      </c>
      <c r="F131" s="193">
        <f t="shared" si="4"/>
        <v>1150</v>
      </c>
      <c r="G131" s="194">
        <f t="shared" si="5"/>
        <v>1190</v>
      </c>
      <c r="H131" s="195">
        <f t="shared" si="6"/>
        <v>1260</v>
      </c>
      <c r="I131" s="192">
        <f t="shared" si="7"/>
        <v>1330</v>
      </c>
      <c r="J131" s="196"/>
      <c r="K131" s="196"/>
      <c r="L131" s="198" t="str">
        <f>IFERROR(VLOOKUP(#REF!,'[3]0-LPM'!$A$6:$D$10668,4,0),"")</f>
        <v/>
      </c>
      <c r="M131" s="188"/>
      <c r="N131" s="198">
        <f>IFERROR(VLOOKUP(A131,'[3]0-LPM'!$A$6:$D$10668,4,0),"")</f>
        <v>348.7429866666667</v>
      </c>
      <c r="O131" s="190"/>
    </row>
    <row r="132" spans="1:15" ht="12.2" customHeight="1" x14ac:dyDescent="0.25">
      <c r="A132" s="189" t="s">
        <v>315</v>
      </c>
      <c r="B132" s="190" t="s">
        <v>303</v>
      </c>
      <c r="C132" s="190" t="s">
        <v>316</v>
      </c>
      <c r="D132" s="191">
        <v>3200</v>
      </c>
      <c r="E132" s="192">
        <v>1900</v>
      </c>
      <c r="F132" s="193">
        <f t="shared" si="4"/>
        <v>1560</v>
      </c>
      <c r="G132" s="194">
        <f t="shared" si="5"/>
        <v>1620</v>
      </c>
      <c r="H132" s="195">
        <f t="shared" si="6"/>
        <v>1710</v>
      </c>
      <c r="I132" s="192">
        <f t="shared" si="7"/>
        <v>1810</v>
      </c>
      <c r="J132" s="196"/>
      <c r="K132" s="196"/>
      <c r="L132" s="198" t="str">
        <f>IFERROR(VLOOKUP(#REF!,'[3]0-LPM'!$A$6:$D$10668,4,0),"")</f>
        <v/>
      </c>
      <c r="M132" s="188"/>
      <c r="N132" s="198">
        <f>IFERROR(VLOOKUP(A132,'[3]0-LPM'!$A$6:$D$10668,4,0),"")</f>
        <v>537.18919999999991</v>
      </c>
      <c r="O132" s="190"/>
    </row>
    <row r="133" spans="1:15" ht="12.2" customHeight="1" x14ac:dyDescent="0.25">
      <c r="A133" s="189" t="s">
        <v>317</v>
      </c>
      <c r="B133" s="190" t="s">
        <v>303</v>
      </c>
      <c r="C133" s="190" t="s">
        <v>318</v>
      </c>
      <c r="D133" s="191">
        <v>2100</v>
      </c>
      <c r="E133" s="192">
        <v>1300</v>
      </c>
      <c r="F133" s="193">
        <f t="shared" si="4"/>
        <v>1070</v>
      </c>
      <c r="G133" s="194">
        <f t="shared" si="5"/>
        <v>1110</v>
      </c>
      <c r="H133" s="195">
        <f t="shared" si="6"/>
        <v>1170</v>
      </c>
      <c r="I133" s="192">
        <f t="shared" si="7"/>
        <v>1240</v>
      </c>
      <c r="J133" s="196"/>
      <c r="K133" s="196"/>
      <c r="L133" s="198" t="str">
        <f>IFERROR(VLOOKUP(#REF!,'[3]0-LPM'!$A$6:$D$10668,4,0),"")</f>
        <v/>
      </c>
      <c r="M133" s="188"/>
      <c r="N133" s="198">
        <f>IFERROR(VLOOKUP(A133,'[3]0-LPM'!$A$6:$D$10668,4,0),"")</f>
        <v>379.15999578947367</v>
      </c>
      <c r="O133" s="190"/>
    </row>
    <row r="134" spans="1:15" ht="12.2" customHeight="1" x14ac:dyDescent="0.25">
      <c r="A134" s="189" t="s">
        <v>319</v>
      </c>
      <c r="B134" s="190" t="s">
        <v>303</v>
      </c>
      <c r="C134" s="190" t="s">
        <v>320</v>
      </c>
      <c r="D134" s="191">
        <v>3500</v>
      </c>
      <c r="E134" s="192">
        <v>1700</v>
      </c>
      <c r="F134" s="193">
        <f t="shared" si="4"/>
        <v>1390</v>
      </c>
      <c r="G134" s="194">
        <f t="shared" si="5"/>
        <v>1450</v>
      </c>
      <c r="H134" s="195">
        <f t="shared" si="6"/>
        <v>1530</v>
      </c>
      <c r="I134" s="192">
        <f t="shared" si="7"/>
        <v>1620</v>
      </c>
      <c r="J134" s="196"/>
      <c r="K134" s="196"/>
      <c r="L134" s="198" t="str">
        <f>IFERROR(VLOOKUP(#REF!,'[3]0-LPM'!$A$6:$D$10668,4,0),"")</f>
        <v/>
      </c>
      <c r="M134" s="188"/>
      <c r="N134" s="198">
        <f>IFERROR(VLOOKUP(A134,'[3]0-LPM'!$A$6:$D$10668,4,0),"")</f>
        <v>758.31999157894734</v>
      </c>
      <c r="O134" s="190"/>
    </row>
    <row r="135" spans="1:15" ht="12.2" customHeight="1" x14ac:dyDescent="0.25">
      <c r="A135" s="189" t="s">
        <v>321</v>
      </c>
      <c r="B135" s="190" t="s">
        <v>303</v>
      </c>
      <c r="C135" s="190" t="s">
        <v>322</v>
      </c>
      <c r="D135" s="191">
        <v>5700</v>
      </c>
      <c r="E135" s="192">
        <v>3400</v>
      </c>
      <c r="F135" s="193">
        <f t="shared" si="4"/>
        <v>2790</v>
      </c>
      <c r="G135" s="194">
        <f t="shared" si="5"/>
        <v>2890</v>
      </c>
      <c r="H135" s="195">
        <f t="shared" si="6"/>
        <v>3060</v>
      </c>
      <c r="I135" s="192">
        <f t="shared" si="7"/>
        <v>3230</v>
      </c>
      <c r="J135" s="196"/>
      <c r="K135" s="196"/>
      <c r="L135" s="198" t="str">
        <f>IFERROR(VLOOKUP(#REF!,'[3]0-LPM'!$A$6:$D$10668,4,0),"")</f>
        <v/>
      </c>
      <c r="M135" s="188"/>
      <c r="N135" s="198">
        <f>IFERROR(VLOOKUP(A135,'[3]0-LPM'!$A$6:$D$10668,4,0),"")</f>
        <v>702.57028571428566</v>
      </c>
      <c r="O135" s="190"/>
    </row>
    <row r="136" spans="1:15" ht="12.2" customHeight="1" x14ac:dyDescent="0.25">
      <c r="A136" s="189" t="s">
        <v>323</v>
      </c>
      <c r="B136" s="190" t="s">
        <v>303</v>
      </c>
      <c r="C136" s="190" t="s">
        <v>324</v>
      </c>
      <c r="D136" s="191">
        <v>0</v>
      </c>
      <c r="E136" s="192">
        <v>900</v>
      </c>
      <c r="F136" s="193">
        <f t="shared" si="4"/>
        <v>740</v>
      </c>
      <c r="G136" s="194">
        <f t="shared" si="5"/>
        <v>770</v>
      </c>
      <c r="H136" s="195">
        <f t="shared" si="6"/>
        <v>810</v>
      </c>
      <c r="I136" s="192">
        <f t="shared" si="7"/>
        <v>860</v>
      </c>
      <c r="J136" s="196"/>
      <c r="K136" s="196"/>
      <c r="L136" s="198" t="str">
        <f>IFERROR(VLOOKUP(#REF!,'[3]0-LPM'!$A$6:$D$10668,4,0),"")</f>
        <v/>
      </c>
      <c r="M136" s="188"/>
      <c r="N136" s="198" t="str">
        <f>IFERROR(VLOOKUP(A136,'[3]0-LPM'!$A$6:$D$10668,4,0),"")</f>
        <v/>
      </c>
      <c r="O136" s="190"/>
    </row>
    <row r="137" spans="1:15" ht="12.2" customHeight="1" x14ac:dyDescent="0.25">
      <c r="A137" s="204"/>
      <c r="B137" s="205"/>
      <c r="C137" s="206" t="str">
        <f>+B138</f>
        <v>FACTURAS</v>
      </c>
      <c r="D137" s="191">
        <v>0</v>
      </c>
      <c r="E137" s="192">
        <v>0</v>
      </c>
      <c r="F137" s="193">
        <f t="shared" si="4"/>
        <v>0</v>
      </c>
      <c r="G137" s="194">
        <f t="shared" si="5"/>
        <v>0</v>
      </c>
      <c r="H137" s="195">
        <f t="shared" si="6"/>
        <v>0</v>
      </c>
      <c r="I137" s="192">
        <f t="shared" si="7"/>
        <v>0</v>
      </c>
      <c r="J137" s="196"/>
      <c r="K137" s="196"/>
      <c r="L137" s="198" t="str">
        <f>IFERROR(VLOOKUP(#REF!,'[3]0-LPM'!$A$6:$D$10668,4,0),"")</f>
        <v/>
      </c>
      <c r="M137" s="188"/>
      <c r="N137" s="198" t="str">
        <f>IFERROR(VLOOKUP(A137,'[3]0-LPM'!$A$6:$D$10668,4,0),"")</f>
        <v/>
      </c>
      <c r="O137" s="206"/>
    </row>
    <row r="138" spans="1:15" ht="12.2" customHeight="1" x14ac:dyDescent="0.25">
      <c r="A138" s="199" t="s">
        <v>325</v>
      </c>
      <c r="B138" s="190" t="s">
        <v>326</v>
      </c>
      <c r="C138" s="190" t="s">
        <v>327</v>
      </c>
      <c r="D138" s="191">
        <v>13000</v>
      </c>
      <c r="E138" s="192">
        <v>6300</v>
      </c>
      <c r="F138" s="193">
        <f t="shared" si="4"/>
        <v>5170</v>
      </c>
      <c r="G138" s="194">
        <f t="shared" si="5"/>
        <v>5360</v>
      </c>
      <c r="H138" s="195">
        <f t="shared" si="6"/>
        <v>5670</v>
      </c>
      <c r="I138" s="192">
        <f t="shared" si="7"/>
        <v>5990</v>
      </c>
      <c r="J138" s="196"/>
      <c r="K138" s="196"/>
      <c r="L138" s="198" t="str">
        <f>IFERROR(VLOOKUP(#REF!,'[3]0-LPM'!$A$6:$D$10668,4,0),"")</f>
        <v/>
      </c>
      <c r="M138" s="188"/>
      <c r="N138" s="198">
        <f>IFERROR(VLOOKUP(A138,'[3]0-LPM'!$A$6:$D$10668,4,0),"")</f>
        <v>2214.4689743589743</v>
      </c>
      <c r="O138" s="190"/>
    </row>
    <row r="139" spans="1:15" ht="12.2" customHeight="1" x14ac:dyDescent="0.25">
      <c r="A139" s="189" t="s">
        <v>328</v>
      </c>
      <c r="B139" s="190" t="s">
        <v>326</v>
      </c>
      <c r="C139" s="190" t="s">
        <v>329</v>
      </c>
      <c r="D139" s="191">
        <v>13000</v>
      </c>
      <c r="E139" s="192">
        <v>6300</v>
      </c>
      <c r="F139" s="193">
        <f t="shared" si="4"/>
        <v>5170</v>
      </c>
      <c r="G139" s="194">
        <f t="shared" si="5"/>
        <v>5360</v>
      </c>
      <c r="H139" s="195">
        <f t="shared" si="6"/>
        <v>5670</v>
      </c>
      <c r="I139" s="192">
        <f t="shared" si="7"/>
        <v>5990</v>
      </c>
      <c r="J139" s="196"/>
      <c r="K139" s="196"/>
      <c r="L139" s="198" t="str">
        <f>IFERROR(VLOOKUP(#REF!,'[3]0-LPM'!$A$6:$D$10668,4,0),"")</f>
        <v/>
      </c>
      <c r="M139" s="188"/>
      <c r="N139" s="198">
        <f>IFERROR(VLOOKUP(A139,'[3]0-LPM'!$A$6:$D$10668,4,0),"")</f>
        <v>0</v>
      </c>
      <c r="O139" s="190"/>
    </row>
    <row r="140" spans="1:15" ht="12.2" customHeight="1" x14ac:dyDescent="0.25">
      <c r="A140" s="199" t="s">
        <v>330</v>
      </c>
      <c r="B140" s="190" t="s">
        <v>326</v>
      </c>
      <c r="C140" s="190" t="s">
        <v>331</v>
      </c>
      <c r="D140" s="191">
        <v>13000</v>
      </c>
      <c r="E140" s="192">
        <v>6300</v>
      </c>
      <c r="F140" s="193">
        <f t="shared" si="4"/>
        <v>5170</v>
      </c>
      <c r="G140" s="194">
        <f t="shared" si="5"/>
        <v>5360</v>
      </c>
      <c r="H140" s="195">
        <f t="shared" si="6"/>
        <v>5670</v>
      </c>
      <c r="I140" s="192">
        <f t="shared" si="7"/>
        <v>5990</v>
      </c>
      <c r="J140" s="196"/>
      <c r="K140" s="196"/>
      <c r="L140" s="197">
        <f>+E140-K140</f>
        <v>6300</v>
      </c>
      <c r="M140" s="188">
        <f>+L140/E140</f>
        <v>1</v>
      </c>
      <c r="N140" s="198">
        <f>IFERROR(VLOOKUP(A140,'[3]0-LPM'!$A$6:$D$10668,4,0),"")</f>
        <v>0</v>
      </c>
      <c r="O140" s="190"/>
    </row>
    <row r="141" spans="1:15" ht="12.2" customHeight="1" x14ac:dyDescent="0.25">
      <c r="A141" s="199" t="s">
        <v>332</v>
      </c>
      <c r="B141" s="190" t="s">
        <v>326</v>
      </c>
      <c r="C141" s="190" t="s">
        <v>333</v>
      </c>
      <c r="D141" s="191">
        <v>1100</v>
      </c>
      <c r="E141" s="192"/>
      <c r="F141" s="193"/>
      <c r="G141" s="194"/>
      <c r="H141" s="195"/>
      <c r="I141" s="192"/>
      <c r="J141" s="196"/>
      <c r="K141" s="196"/>
      <c r="L141" s="198" t="str">
        <f>IFERROR(VLOOKUP(#REF!,'[3]0-LPM'!$A$6:$D$10668,4,0),"")</f>
        <v/>
      </c>
      <c r="M141" s="188"/>
      <c r="N141" s="198">
        <f>IFERROR(VLOOKUP(A141,'[3]0-LPM'!$A$6:$D$10668,4,0),"")</f>
        <v>0</v>
      </c>
      <c r="O141" s="190"/>
    </row>
    <row r="142" spans="1:15" ht="12.2" customHeight="1" x14ac:dyDescent="0.25">
      <c r="A142" s="199" t="s">
        <v>334</v>
      </c>
      <c r="B142" s="190" t="s">
        <v>326</v>
      </c>
      <c r="C142" s="190" t="s">
        <v>335</v>
      </c>
      <c r="D142" s="191">
        <v>2200</v>
      </c>
      <c r="E142" s="192"/>
      <c r="F142" s="193"/>
      <c r="G142" s="194"/>
      <c r="H142" s="195"/>
      <c r="I142" s="192"/>
      <c r="J142" s="196"/>
      <c r="K142" s="196"/>
      <c r="L142" s="198" t="str">
        <f>IFERROR(VLOOKUP(#REF!,'[3]0-LPM'!$A$6:$D$10668,4,0),"")</f>
        <v/>
      </c>
      <c r="M142" s="188"/>
      <c r="N142" s="198">
        <f>IFERROR(VLOOKUP(A142,'[3]0-LPM'!$A$6:$D$10668,4,0),"")</f>
        <v>0</v>
      </c>
      <c r="O142" s="190"/>
    </row>
    <row r="143" spans="1:15" ht="12.2" customHeight="1" x14ac:dyDescent="0.25">
      <c r="A143" s="199" t="s">
        <v>336</v>
      </c>
      <c r="B143" s="190" t="s">
        <v>326</v>
      </c>
      <c r="C143" s="190" t="s">
        <v>337</v>
      </c>
      <c r="D143" s="191">
        <v>3300</v>
      </c>
      <c r="E143" s="192"/>
      <c r="F143" s="193"/>
      <c r="G143" s="194"/>
      <c r="H143" s="195"/>
      <c r="I143" s="192"/>
      <c r="J143" s="196"/>
      <c r="K143" s="196"/>
      <c r="L143" s="198" t="str">
        <f>IFERROR(VLOOKUP(#REF!,'[3]0-LPM'!$A$6:$D$10668,4,0),"")</f>
        <v/>
      </c>
      <c r="M143" s="188"/>
      <c r="N143" s="198">
        <f>IFERROR(VLOOKUP(A143,'[3]0-LPM'!$A$6:$D$10668,4,0),"")</f>
        <v>0</v>
      </c>
      <c r="O143" s="190"/>
    </row>
    <row r="144" spans="1:15" ht="12.2" customHeight="1" x14ac:dyDescent="0.25">
      <c r="A144" s="199" t="s">
        <v>338</v>
      </c>
      <c r="B144" s="190" t="s">
        <v>326</v>
      </c>
      <c r="C144" s="190" t="s">
        <v>339</v>
      </c>
      <c r="D144" s="191">
        <v>4400</v>
      </c>
      <c r="E144" s="192"/>
      <c r="F144" s="193"/>
      <c r="G144" s="194"/>
      <c r="H144" s="195"/>
      <c r="I144" s="192"/>
      <c r="J144" s="196"/>
      <c r="K144" s="196"/>
      <c r="L144" s="198" t="str">
        <f>IFERROR(VLOOKUP(#REF!,'[3]0-LPM'!$A$6:$D$10668,4,0),"")</f>
        <v/>
      </c>
      <c r="M144" s="188"/>
      <c r="N144" s="198">
        <f>IFERROR(VLOOKUP(A144,'[3]0-LPM'!$A$6:$D$10668,4,0),"")</f>
        <v>0</v>
      </c>
      <c r="O144" s="190"/>
    </row>
    <row r="145" spans="1:15" ht="12.2" customHeight="1" x14ac:dyDescent="0.25">
      <c r="A145" s="199" t="s">
        <v>340</v>
      </c>
      <c r="B145" s="190" t="s">
        <v>326</v>
      </c>
      <c r="C145" s="190" t="s">
        <v>341</v>
      </c>
      <c r="D145" s="191">
        <v>5500</v>
      </c>
      <c r="E145" s="192"/>
      <c r="F145" s="193"/>
      <c r="G145" s="194"/>
      <c r="H145" s="195"/>
      <c r="I145" s="192"/>
      <c r="J145" s="196"/>
      <c r="K145" s="196"/>
      <c r="L145" s="198" t="str">
        <f>IFERROR(VLOOKUP(#REF!,'[3]0-LPM'!$A$6:$D$10668,4,0),"")</f>
        <v/>
      </c>
      <c r="M145" s="188"/>
      <c r="N145" s="198">
        <f>IFERROR(VLOOKUP(A145,'[3]0-LPM'!$A$6:$D$10668,4,0),"")</f>
        <v>0</v>
      </c>
      <c r="O145" s="190"/>
    </row>
    <row r="146" spans="1:15" ht="12.2" customHeight="1" x14ac:dyDescent="0.25">
      <c r="A146" s="199" t="s">
        <v>342</v>
      </c>
      <c r="B146" s="190" t="s">
        <v>326</v>
      </c>
      <c r="C146" s="190" t="s">
        <v>343</v>
      </c>
      <c r="D146" s="191">
        <v>6500</v>
      </c>
      <c r="E146" s="192"/>
      <c r="F146" s="193"/>
      <c r="G146" s="194"/>
      <c r="H146" s="195"/>
      <c r="I146" s="192"/>
      <c r="J146" s="196"/>
      <c r="K146" s="196"/>
      <c r="L146" s="198" t="str">
        <f>IFERROR(VLOOKUP(#REF!,'[3]0-LPM'!$A$6:$D$10668,4,0),"")</f>
        <v/>
      </c>
      <c r="M146" s="188"/>
      <c r="N146" s="198">
        <f>IFERROR(VLOOKUP(A146,'[3]0-LPM'!$A$6:$D$10668,4,0),"")</f>
        <v>0</v>
      </c>
      <c r="O146" s="190"/>
    </row>
    <row r="147" spans="1:15" ht="12.2" customHeight="1" x14ac:dyDescent="0.25">
      <c r="A147" s="199" t="s">
        <v>344</v>
      </c>
      <c r="B147" s="190" t="s">
        <v>326</v>
      </c>
      <c r="C147" s="190" t="s">
        <v>345</v>
      </c>
      <c r="D147" s="191">
        <v>7600</v>
      </c>
      <c r="E147" s="192"/>
      <c r="F147" s="193"/>
      <c r="G147" s="194"/>
      <c r="H147" s="195"/>
      <c r="I147" s="192"/>
      <c r="J147" s="196"/>
      <c r="K147" s="196"/>
      <c r="L147" s="198" t="str">
        <f>IFERROR(VLOOKUP(#REF!,'[3]0-LPM'!$A$6:$D$10668,4,0),"")</f>
        <v/>
      </c>
      <c r="M147" s="188"/>
      <c r="N147" s="198">
        <f>IFERROR(VLOOKUP(A147,'[3]0-LPM'!$A$6:$D$10668,4,0),"")</f>
        <v>0</v>
      </c>
      <c r="O147" s="190"/>
    </row>
    <row r="148" spans="1:15" ht="12.2" customHeight="1" x14ac:dyDescent="0.25">
      <c r="A148" s="199" t="s">
        <v>346</v>
      </c>
      <c r="B148" s="190" t="s">
        <v>326</v>
      </c>
      <c r="C148" s="190" t="s">
        <v>347</v>
      </c>
      <c r="D148" s="191">
        <v>8700</v>
      </c>
      <c r="E148" s="192"/>
      <c r="F148" s="193"/>
      <c r="G148" s="194"/>
      <c r="H148" s="195"/>
      <c r="I148" s="192"/>
      <c r="J148" s="196"/>
      <c r="K148" s="196"/>
      <c r="L148" s="198" t="str">
        <f>IFERROR(VLOOKUP(#REF!,'[3]0-LPM'!$A$6:$D$10668,4,0),"")</f>
        <v/>
      </c>
      <c r="M148" s="188"/>
      <c r="N148" s="198">
        <f>IFERROR(VLOOKUP(A148,'[3]0-LPM'!$A$6:$D$10668,4,0),"")</f>
        <v>0</v>
      </c>
      <c r="O148" s="190"/>
    </row>
    <row r="149" spans="1:15" ht="12.2" customHeight="1" x14ac:dyDescent="0.25">
      <c r="A149" s="199" t="s">
        <v>348</v>
      </c>
      <c r="B149" s="190" t="s">
        <v>326</v>
      </c>
      <c r="C149" s="190" t="s">
        <v>349</v>
      </c>
      <c r="D149" s="191">
        <v>9800</v>
      </c>
      <c r="E149" s="192"/>
      <c r="F149" s="193"/>
      <c r="G149" s="194"/>
      <c r="H149" s="195"/>
      <c r="I149" s="192"/>
      <c r="J149" s="196"/>
      <c r="K149" s="196"/>
      <c r="L149" s="198" t="str">
        <f>IFERROR(VLOOKUP(#REF!,'[3]0-LPM'!$A$6:$D$10668,4,0),"")</f>
        <v/>
      </c>
      <c r="M149" s="188"/>
      <c r="N149" s="198">
        <f>IFERROR(VLOOKUP(A149,'[3]0-LPM'!$A$6:$D$10668,4,0),"")</f>
        <v>0</v>
      </c>
      <c r="O149" s="190"/>
    </row>
    <row r="150" spans="1:15" ht="12.2" customHeight="1" x14ac:dyDescent="0.25">
      <c r="A150" s="199" t="s">
        <v>350</v>
      </c>
      <c r="B150" s="190" t="s">
        <v>326</v>
      </c>
      <c r="C150" s="190" t="s">
        <v>351</v>
      </c>
      <c r="D150" s="191">
        <v>10900</v>
      </c>
      <c r="E150" s="192"/>
      <c r="F150" s="193"/>
      <c r="G150" s="194"/>
      <c r="H150" s="195"/>
      <c r="I150" s="192"/>
      <c r="J150" s="196"/>
      <c r="K150" s="196"/>
      <c r="L150" s="198" t="str">
        <f>IFERROR(VLOOKUP(#REF!,'[3]0-LPM'!$A$6:$D$10668,4,0),"")</f>
        <v/>
      </c>
      <c r="M150" s="188"/>
      <c r="N150" s="198">
        <f>IFERROR(VLOOKUP(A150,'[3]0-LPM'!$A$6:$D$10668,4,0),"")</f>
        <v>0</v>
      </c>
      <c r="O150" s="190"/>
    </row>
    <row r="151" spans="1:15" ht="12.2" customHeight="1" x14ac:dyDescent="0.25">
      <c r="A151" s="199" t="s">
        <v>352</v>
      </c>
      <c r="B151" s="190" t="s">
        <v>326</v>
      </c>
      <c r="C151" s="190" t="s">
        <v>353</v>
      </c>
      <c r="D151" s="191">
        <v>12000</v>
      </c>
      <c r="E151" s="192"/>
      <c r="F151" s="193"/>
      <c r="G151" s="194"/>
      <c r="H151" s="195"/>
      <c r="I151" s="192"/>
      <c r="J151" s="196"/>
      <c r="K151" s="196"/>
      <c r="L151" s="198" t="str">
        <f>IFERROR(VLOOKUP(#REF!,'[3]0-LPM'!$A$6:$D$10668,4,0),"")</f>
        <v/>
      </c>
      <c r="M151" s="188"/>
      <c r="N151" s="198">
        <f>IFERROR(VLOOKUP(A151,'[3]0-LPM'!$A$6:$D$10668,4,0),"")</f>
        <v>0</v>
      </c>
      <c r="O151" s="190"/>
    </row>
    <row r="152" spans="1:15" ht="12.2" customHeight="1" x14ac:dyDescent="0.25">
      <c r="A152" s="199" t="s">
        <v>354</v>
      </c>
      <c r="B152" s="190" t="s">
        <v>355</v>
      </c>
      <c r="C152" s="190" t="s">
        <v>356</v>
      </c>
      <c r="D152" s="191">
        <v>13000</v>
      </c>
      <c r="E152" s="192"/>
      <c r="F152" s="193"/>
      <c r="G152" s="194"/>
      <c r="H152" s="195"/>
      <c r="I152" s="192"/>
      <c r="J152" s="196"/>
      <c r="K152" s="196"/>
      <c r="L152" s="198" t="str">
        <f>IFERROR(VLOOKUP(#REF!,'[3]0-LPM'!$A$6:$D$10668,4,0),"")</f>
        <v/>
      </c>
      <c r="M152" s="188"/>
      <c r="N152" s="198">
        <f>IFERROR(VLOOKUP(A152,'[3]0-LPM'!$A$6:$D$10668,4,0),"")</f>
        <v>157.5</v>
      </c>
      <c r="O152" s="190"/>
    </row>
    <row r="153" spans="1:15" ht="12.2" customHeight="1" x14ac:dyDescent="0.25">
      <c r="A153" s="189" t="s">
        <v>357</v>
      </c>
      <c r="B153" s="190" t="s">
        <v>355</v>
      </c>
      <c r="C153" s="190" t="s">
        <v>358</v>
      </c>
      <c r="D153" s="191">
        <v>0</v>
      </c>
      <c r="E153" s="192">
        <v>20800</v>
      </c>
      <c r="F153" s="193">
        <f t="shared" ref="F153:F216" si="8">+ROUND(E153-H153*F$1,-1)</f>
        <v>17060</v>
      </c>
      <c r="G153" s="194">
        <f t="shared" ref="G153:G216" si="9">+ROUND(E153-E153*G$1,-1)</f>
        <v>17680</v>
      </c>
      <c r="H153" s="195">
        <f t="shared" ref="H153:H216" si="10">+ROUND(E153-E153*H$1,-1)</f>
        <v>18720</v>
      </c>
      <c r="I153" s="192">
        <f t="shared" ref="I153:I216" si="11">+ROUND(E153-E153*I$1,-1)</f>
        <v>19760</v>
      </c>
      <c r="J153" s="196"/>
      <c r="K153" s="196"/>
      <c r="L153" s="198" t="str">
        <f>IFERROR(VLOOKUP(#REF!,'[3]0-LPM'!$A$6:$D$10668,4,0),"")</f>
        <v/>
      </c>
      <c r="M153" s="188"/>
      <c r="N153" s="198">
        <f>IFERROR(VLOOKUP(A153,'[3]0-LPM'!$A$6:$D$10668,4,0),"")</f>
        <v>551.25</v>
      </c>
      <c r="O153" s="190"/>
    </row>
    <row r="154" spans="1:15" ht="12.2" customHeight="1" x14ac:dyDescent="0.25">
      <c r="A154" s="189" t="s">
        <v>359</v>
      </c>
      <c r="B154" s="190" t="s">
        <v>355</v>
      </c>
      <c r="C154" s="190" t="s">
        <v>360</v>
      </c>
      <c r="D154" s="191">
        <v>0</v>
      </c>
      <c r="E154" s="192">
        <v>13900</v>
      </c>
      <c r="F154" s="193">
        <f t="shared" si="8"/>
        <v>11400</v>
      </c>
      <c r="G154" s="194">
        <f t="shared" si="9"/>
        <v>11820</v>
      </c>
      <c r="H154" s="195">
        <f t="shared" si="10"/>
        <v>12510</v>
      </c>
      <c r="I154" s="192">
        <f t="shared" si="11"/>
        <v>13210</v>
      </c>
      <c r="J154" s="196"/>
      <c r="K154" s="196"/>
      <c r="L154" s="198" t="str">
        <f>IFERROR(VLOOKUP(#REF!,'[3]0-LPM'!$A$6:$D$10668,4,0),"")</f>
        <v/>
      </c>
      <c r="M154" s="188"/>
      <c r="N154" s="198" t="str">
        <f>IFERROR(VLOOKUP(A154,'[3]0-LPM'!$A$6:$D$10668,4,0),"")</f>
        <v/>
      </c>
      <c r="O154" s="190"/>
    </row>
    <row r="155" spans="1:15" ht="12.2" customHeight="1" x14ac:dyDescent="0.25">
      <c r="A155" s="189" t="s">
        <v>361</v>
      </c>
      <c r="B155" s="190" t="s">
        <v>326</v>
      </c>
      <c r="C155" s="200" t="s">
        <v>362</v>
      </c>
      <c r="D155" s="191">
        <v>13500</v>
      </c>
      <c r="E155" s="192">
        <v>6800</v>
      </c>
      <c r="F155" s="193">
        <f t="shared" si="8"/>
        <v>5580</v>
      </c>
      <c r="G155" s="194">
        <f t="shared" si="9"/>
        <v>5780</v>
      </c>
      <c r="H155" s="195">
        <f t="shared" si="10"/>
        <v>6120</v>
      </c>
      <c r="I155" s="192">
        <f t="shared" si="11"/>
        <v>6460</v>
      </c>
      <c r="J155" s="196"/>
      <c r="K155" s="196"/>
      <c r="L155" s="198" t="str">
        <f>IFERROR(VLOOKUP(#REF!,'[3]0-LPM'!$A$6:$D$10668,4,0),"")</f>
        <v/>
      </c>
      <c r="M155" s="188"/>
      <c r="N155" s="198">
        <f>IFERROR(VLOOKUP(A155,'[3]0-LPM'!$A$6:$D$10668,4,0),"")</f>
        <v>878.63666550925927</v>
      </c>
      <c r="O155" s="200"/>
    </row>
    <row r="156" spans="1:15" ht="12.2" customHeight="1" x14ac:dyDescent="0.25">
      <c r="A156" s="199" t="s">
        <v>363</v>
      </c>
      <c r="B156" s="190" t="s">
        <v>326</v>
      </c>
      <c r="C156" s="200" t="s">
        <v>364</v>
      </c>
      <c r="D156" s="191">
        <v>13500</v>
      </c>
      <c r="E156" s="192">
        <v>6800</v>
      </c>
      <c r="F156" s="193">
        <f t="shared" si="8"/>
        <v>5580</v>
      </c>
      <c r="G156" s="194">
        <f t="shared" si="9"/>
        <v>5780</v>
      </c>
      <c r="H156" s="195">
        <f t="shared" si="10"/>
        <v>6120</v>
      </c>
      <c r="I156" s="192">
        <f t="shared" si="11"/>
        <v>6460</v>
      </c>
      <c r="J156" s="196"/>
      <c r="K156" s="196"/>
      <c r="L156" s="198" t="str">
        <f>IFERROR(VLOOKUP(#REF!,'[3]0-LPM'!$A$6:$D$10668,4,0),"")</f>
        <v/>
      </c>
      <c r="M156" s="188"/>
      <c r="N156" s="198">
        <f>IFERROR(VLOOKUP(A156,'[3]0-LPM'!$A$6:$D$10668,4,0),"")</f>
        <v>1362.522207175926</v>
      </c>
      <c r="O156" s="200"/>
    </row>
    <row r="157" spans="1:15" ht="12.2" customHeight="1" x14ac:dyDescent="0.25">
      <c r="A157" s="199" t="s">
        <v>365</v>
      </c>
      <c r="B157" s="190" t="s">
        <v>326</v>
      </c>
      <c r="C157" s="200" t="s">
        <v>366</v>
      </c>
      <c r="D157" s="191">
        <v>2100</v>
      </c>
      <c r="E157" s="192">
        <v>1400</v>
      </c>
      <c r="F157" s="193">
        <f t="shared" si="8"/>
        <v>1150</v>
      </c>
      <c r="G157" s="194">
        <f t="shared" si="9"/>
        <v>1190</v>
      </c>
      <c r="H157" s="195">
        <f t="shared" si="10"/>
        <v>1260</v>
      </c>
      <c r="I157" s="192">
        <f t="shared" si="11"/>
        <v>1330</v>
      </c>
      <c r="J157" s="196"/>
      <c r="K157" s="196"/>
      <c r="L157" s="198" t="str">
        <f>IFERROR(VLOOKUP(#REF!,'[3]0-LPM'!$A$6:$D$10668,4,0),"")</f>
        <v/>
      </c>
      <c r="M157" s="188"/>
      <c r="N157" s="198">
        <f>IFERROR(VLOOKUP(A157,'[3]0-LPM'!$A$6:$D$10668,4,0),"")</f>
        <v>229.46635884954978</v>
      </c>
      <c r="O157" s="200"/>
    </row>
    <row r="158" spans="1:15" ht="12.2" customHeight="1" x14ac:dyDescent="0.25">
      <c r="A158" s="199" t="s">
        <v>367</v>
      </c>
      <c r="B158" s="190" t="s">
        <v>326</v>
      </c>
      <c r="C158" s="200" t="s">
        <v>368</v>
      </c>
      <c r="D158" s="191">
        <v>0</v>
      </c>
      <c r="E158" s="192">
        <v>300</v>
      </c>
      <c r="F158" s="193">
        <f t="shared" si="8"/>
        <v>250</v>
      </c>
      <c r="G158" s="194">
        <f t="shared" si="9"/>
        <v>260</v>
      </c>
      <c r="H158" s="195">
        <f t="shared" si="10"/>
        <v>270</v>
      </c>
      <c r="I158" s="192">
        <f t="shared" si="11"/>
        <v>290</v>
      </c>
      <c r="J158" s="196"/>
      <c r="K158" s="196"/>
      <c r="L158" s="198" t="str">
        <f>IFERROR(VLOOKUP(#REF!,'[3]0-LPM'!$A$6:$D$10668,4,0),"")</f>
        <v/>
      </c>
      <c r="M158" s="188"/>
      <c r="N158" s="198" t="str">
        <f>IFERROR(VLOOKUP(A158,'[3]0-LPM'!$A$6:$D$10668,4,0),"")</f>
        <v/>
      </c>
      <c r="O158" s="200"/>
    </row>
    <row r="159" spans="1:15" ht="12.2" customHeight="1" x14ac:dyDescent="0.25">
      <c r="A159" s="199" t="s">
        <v>369</v>
      </c>
      <c r="B159" s="190" t="s">
        <v>326</v>
      </c>
      <c r="C159" s="200" t="s">
        <v>370</v>
      </c>
      <c r="D159" s="191">
        <v>0</v>
      </c>
      <c r="E159" s="192">
        <v>300</v>
      </c>
      <c r="F159" s="193">
        <f t="shared" si="8"/>
        <v>250</v>
      </c>
      <c r="G159" s="194">
        <f t="shared" si="9"/>
        <v>260</v>
      </c>
      <c r="H159" s="195">
        <f t="shared" si="10"/>
        <v>270</v>
      </c>
      <c r="I159" s="192">
        <f t="shared" si="11"/>
        <v>290</v>
      </c>
      <c r="J159" s="196"/>
      <c r="K159" s="196"/>
      <c r="L159" s="198" t="str">
        <f>IFERROR(VLOOKUP(#REF!,'[3]0-LPM'!$A$6:$D$10668,4,0),"")</f>
        <v/>
      </c>
      <c r="M159" s="188"/>
      <c r="N159" s="198" t="str">
        <f>IFERROR(VLOOKUP(A159,'[3]0-LPM'!$A$6:$D$10668,4,0),"")</f>
        <v/>
      </c>
      <c r="O159" s="200"/>
    </row>
    <row r="160" spans="1:15" ht="12.2" customHeight="1" x14ac:dyDescent="0.25">
      <c r="A160" s="204"/>
      <c r="B160" s="205"/>
      <c r="C160" s="206" t="str">
        <f>+B161</f>
        <v xml:space="preserve">SANDWICH </v>
      </c>
      <c r="D160" s="191">
        <v>0</v>
      </c>
      <c r="E160" s="192">
        <v>0</v>
      </c>
      <c r="F160" s="193">
        <f t="shared" si="8"/>
        <v>0</v>
      </c>
      <c r="G160" s="194">
        <f t="shared" si="9"/>
        <v>0</v>
      </c>
      <c r="H160" s="195">
        <f t="shared" si="10"/>
        <v>0</v>
      </c>
      <c r="I160" s="192">
        <f t="shared" si="11"/>
        <v>0</v>
      </c>
      <c r="J160" s="196"/>
      <c r="K160" s="196"/>
      <c r="L160" s="198" t="str">
        <f>IFERROR(VLOOKUP(#REF!,'[3]0-LPM'!$A$6:$D$10668,4,0),"")</f>
        <v/>
      </c>
      <c r="M160" s="188"/>
      <c r="N160" s="198" t="str">
        <f>IFERROR(VLOOKUP(A160,'[3]0-LPM'!$A$6:$D$10668,4,0),"")</f>
        <v/>
      </c>
      <c r="O160" s="206"/>
    </row>
    <row r="161" spans="1:17" ht="12.2" customHeight="1" x14ac:dyDescent="0.25">
      <c r="A161" s="189" t="s">
        <v>371</v>
      </c>
      <c r="B161" s="207" t="s">
        <v>372</v>
      </c>
      <c r="C161" s="190" t="s">
        <v>373</v>
      </c>
      <c r="D161" s="191">
        <v>11000</v>
      </c>
      <c r="E161" s="192">
        <v>6600</v>
      </c>
      <c r="F161" s="193">
        <f t="shared" si="8"/>
        <v>5410</v>
      </c>
      <c r="G161" s="194">
        <f t="shared" si="9"/>
        <v>5610</v>
      </c>
      <c r="H161" s="195">
        <f t="shared" si="10"/>
        <v>5940</v>
      </c>
      <c r="I161" s="192">
        <f t="shared" si="11"/>
        <v>6270</v>
      </c>
      <c r="J161" s="196"/>
      <c r="K161" s="196"/>
      <c r="L161" s="198" t="str">
        <f>IFERROR(VLOOKUP(#REF!,'[3]0-LPM'!$A$6:$D$10668,4,0),"")</f>
        <v/>
      </c>
      <c r="M161" s="188"/>
      <c r="N161" s="198">
        <f>IFERROR(VLOOKUP(A161,'[3]0-LPM'!$A$6:$D$10668,4,0),"")</f>
        <v>1985.9264121510676</v>
      </c>
      <c r="O161" s="190"/>
      <c r="P161" s="208"/>
      <c r="Q161" s="209"/>
    </row>
    <row r="162" spans="1:17" ht="12.2" customHeight="1" x14ac:dyDescent="0.25">
      <c r="A162" s="189" t="s">
        <v>374</v>
      </c>
      <c r="B162" s="207" t="s">
        <v>372</v>
      </c>
      <c r="C162" s="190" t="s">
        <v>375</v>
      </c>
      <c r="D162" s="191">
        <v>3400</v>
      </c>
      <c r="E162" s="192">
        <v>2000</v>
      </c>
      <c r="F162" s="193">
        <f t="shared" si="8"/>
        <v>1640</v>
      </c>
      <c r="G162" s="194">
        <f t="shared" si="9"/>
        <v>1700</v>
      </c>
      <c r="H162" s="195">
        <f t="shared" si="10"/>
        <v>1800</v>
      </c>
      <c r="I162" s="192">
        <f t="shared" si="11"/>
        <v>1900</v>
      </c>
      <c r="J162" s="196"/>
      <c r="K162" s="196"/>
      <c r="L162" s="198" t="str">
        <f>IFERROR(VLOOKUP(#REF!,'[3]0-LPM'!$A$6:$D$10668,4,0),"")</f>
        <v/>
      </c>
      <c r="M162" s="188"/>
      <c r="N162" s="198" t="str">
        <f>IFERROR(VLOOKUP(A162,'[3]0-LPM'!$A$6:$D$10668,4,0),"")</f>
        <v/>
      </c>
      <c r="O162" s="190"/>
      <c r="P162" s="208"/>
      <c r="Q162" s="209"/>
    </row>
    <row r="163" spans="1:17" ht="12.2" customHeight="1" x14ac:dyDescent="0.25">
      <c r="A163" s="189" t="s">
        <v>376</v>
      </c>
      <c r="B163" s="207" t="s">
        <v>372</v>
      </c>
      <c r="C163" s="190" t="s">
        <v>377</v>
      </c>
      <c r="D163" s="191">
        <v>31100</v>
      </c>
      <c r="E163" s="192">
        <v>18700</v>
      </c>
      <c r="F163" s="193">
        <f t="shared" si="8"/>
        <v>15330</v>
      </c>
      <c r="G163" s="194">
        <f t="shared" si="9"/>
        <v>15900</v>
      </c>
      <c r="H163" s="195">
        <f t="shared" si="10"/>
        <v>16830</v>
      </c>
      <c r="I163" s="192">
        <f t="shared" si="11"/>
        <v>17770</v>
      </c>
      <c r="J163" s="196"/>
      <c r="K163" s="196"/>
      <c r="L163" s="198" t="str">
        <f>IFERROR(VLOOKUP(#REF!,'[3]0-LPM'!$A$6:$D$10668,4,0),"")</f>
        <v/>
      </c>
      <c r="M163" s="188"/>
      <c r="N163" s="198">
        <f>IFERROR(VLOOKUP(A163,'[3]0-LPM'!$A$6:$D$10668,4,0),"")</f>
        <v>5957.7792364532024</v>
      </c>
      <c r="O163" s="190"/>
      <c r="P163" s="208"/>
      <c r="Q163" s="209"/>
    </row>
    <row r="164" spans="1:17" ht="12.2" customHeight="1" x14ac:dyDescent="0.25">
      <c r="A164" s="189" t="s">
        <v>378</v>
      </c>
      <c r="B164" s="207" t="s">
        <v>372</v>
      </c>
      <c r="C164" s="190" t="s">
        <v>379</v>
      </c>
      <c r="D164" s="191">
        <v>3600</v>
      </c>
      <c r="E164" s="192">
        <v>2200</v>
      </c>
      <c r="F164" s="193">
        <f t="shared" si="8"/>
        <v>1800</v>
      </c>
      <c r="G164" s="194">
        <f t="shared" si="9"/>
        <v>1870</v>
      </c>
      <c r="H164" s="195">
        <f t="shared" si="10"/>
        <v>1980</v>
      </c>
      <c r="I164" s="192">
        <f t="shared" si="11"/>
        <v>2090</v>
      </c>
      <c r="J164" s="196"/>
      <c r="K164" s="196"/>
      <c r="L164" s="198" t="str">
        <f>IFERROR(VLOOKUP(#REF!,'[3]0-LPM'!$A$6:$D$10668,4,0),"")</f>
        <v/>
      </c>
      <c r="M164" s="188"/>
      <c r="N164" s="198">
        <f>IFERROR(VLOOKUP(A164,'[3]0-LPM'!$A$6:$D$10668,4,0),"")</f>
        <v>0</v>
      </c>
      <c r="O164" s="190"/>
      <c r="P164" s="208"/>
      <c r="Q164" s="209"/>
    </row>
    <row r="165" spans="1:17" ht="12.2" customHeight="1" x14ac:dyDescent="0.25">
      <c r="A165" s="189" t="s">
        <v>380</v>
      </c>
      <c r="B165" s="207" t="s">
        <v>372</v>
      </c>
      <c r="C165" s="190" t="s">
        <v>381</v>
      </c>
      <c r="D165" s="191">
        <v>42100</v>
      </c>
      <c r="E165" s="192">
        <v>25300</v>
      </c>
      <c r="F165" s="193">
        <f t="shared" si="8"/>
        <v>20750</v>
      </c>
      <c r="G165" s="194">
        <f t="shared" si="9"/>
        <v>21510</v>
      </c>
      <c r="H165" s="195">
        <f t="shared" si="10"/>
        <v>22770</v>
      </c>
      <c r="I165" s="192">
        <f t="shared" si="11"/>
        <v>24040</v>
      </c>
      <c r="J165" s="196"/>
      <c r="K165" s="196"/>
      <c r="L165" s="198" t="str">
        <f>IFERROR(VLOOKUP(#REF!,'[3]0-LPM'!$A$6:$D$10668,4,0),"")</f>
        <v/>
      </c>
      <c r="M165" s="188"/>
      <c r="N165" s="198">
        <f>IFERROR(VLOOKUP(A165,'[3]0-LPM'!$A$6:$D$10668,4,0),"")</f>
        <v>0</v>
      </c>
      <c r="O165" s="190"/>
      <c r="P165" s="208"/>
      <c r="Q165" s="209"/>
    </row>
    <row r="166" spans="1:17" ht="12.2" customHeight="1" x14ac:dyDescent="0.25">
      <c r="A166" s="189" t="s">
        <v>382</v>
      </c>
      <c r="B166" s="207" t="s">
        <v>372</v>
      </c>
      <c r="C166" s="190" t="s">
        <v>383</v>
      </c>
      <c r="D166" s="191">
        <v>5000</v>
      </c>
      <c r="E166" s="192">
        <v>3000</v>
      </c>
      <c r="F166" s="193">
        <f t="shared" si="8"/>
        <v>2460</v>
      </c>
      <c r="G166" s="194">
        <f t="shared" si="9"/>
        <v>2550</v>
      </c>
      <c r="H166" s="195">
        <f t="shared" si="10"/>
        <v>2700</v>
      </c>
      <c r="I166" s="192">
        <f t="shared" si="11"/>
        <v>2850</v>
      </c>
      <c r="J166" s="196"/>
      <c r="K166" s="196"/>
      <c r="L166" s="198" t="str">
        <f>IFERROR(VLOOKUP(#REF!,'[3]0-LPM'!$A$6:$D$10668,4,0),"")</f>
        <v/>
      </c>
      <c r="M166" s="188"/>
      <c r="N166" s="198" t="str">
        <f>IFERROR(VLOOKUP(A166,'[3]0-LPM'!$A$6:$D$10668,4,0),"")</f>
        <v/>
      </c>
      <c r="O166" s="190"/>
      <c r="P166" s="208"/>
      <c r="Q166" s="209"/>
    </row>
    <row r="167" spans="1:17" ht="12.2" customHeight="1" x14ac:dyDescent="0.25">
      <c r="A167" s="189" t="s">
        <v>384</v>
      </c>
      <c r="B167" s="207" t="s">
        <v>372</v>
      </c>
      <c r="C167" s="190" t="s">
        <v>385</v>
      </c>
      <c r="D167" s="191">
        <v>5000</v>
      </c>
      <c r="E167" s="192">
        <v>3000</v>
      </c>
      <c r="F167" s="193">
        <f t="shared" si="8"/>
        <v>2460</v>
      </c>
      <c r="G167" s="194">
        <f t="shared" si="9"/>
        <v>2550</v>
      </c>
      <c r="H167" s="195">
        <f t="shared" si="10"/>
        <v>2700</v>
      </c>
      <c r="I167" s="192">
        <f t="shared" si="11"/>
        <v>2850</v>
      </c>
      <c r="J167" s="196"/>
      <c r="K167" s="196"/>
      <c r="L167" s="198" t="str">
        <f>IFERROR(VLOOKUP(#REF!,'[3]0-LPM'!$A$6:$D$10668,4,0),"")</f>
        <v/>
      </c>
      <c r="M167" s="188"/>
      <c r="N167" s="198" t="str">
        <f>IFERROR(VLOOKUP(A167,'[3]0-LPM'!$A$6:$D$10668,4,0),"")</f>
        <v/>
      </c>
      <c r="O167" s="190"/>
      <c r="P167" s="208"/>
      <c r="Q167" s="209"/>
    </row>
    <row r="168" spans="1:17" ht="12.2" customHeight="1" x14ac:dyDescent="0.25">
      <c r="A168" s="189" t="s">
        <v>386</v>
      </c>
      <c r="B168" s="207" t="s">
        <v>372</v>
      </c>
      <c r="C168" s="190" t="s">
        <v>387</v>
      </c>
      <c r="D168" s="191">
        <v>6200</v>
      </c>
      <c r="E168" s="192">
        <v>3700</v>
      </c>
      <c r="F168" s="193">
        <f t="shared" si="8"/>
        <v>3030</v>
      </c>
      <c r="G168" s="194">
        <f t="shared" si="9"/>
        <v>3150</v>
      </c>
      <c r="H168" s="195">
        <f t="shared" si="10"/>
        <v>3330</v>
      </c>
      <c r="I168" s="192">
        <f t="shared" si="11"/>
        <v>3520</v>
      </c>
      <c r="J168" s="196"/>
      <c r="K168" s="196"/>
      <c r="L168" s="198" t="str">
        <f>IFERROR(VLOOKUP(#REF!,'[3]0-LPM'!$A$6:$D$10668,4,0),"")</f>
        <v/>
      </c>
      <c r="M168" s="188"/>
      <c r="N168" s="198">
        <f>IFERROR(VLOOKUP(A168,'[3]0-LPM'!$A$6:$D$10668,4,0),"")</f>
        <v>0</v>
      </c>
      <c r="O168" s="190"/>
      <c r="P168" s="208"/>
      <c r="Q168" s="209"/>
    </row>
    <row r="169" spans="1:17" ht="12.2" customHeight="1" x14ac:dyDescent="0.25">
      <c r="A169" s="189" t="s">
        <v>388</v>
      </c>
      <c r="B169" s="207" t="s">
        <v>372</v>
      </c>
      <c r="C169" s="190" t="s">
        <v>389</v>
      </c>
      <c r="D169" s="191">
        <v>5000</v>
      </c>
      <c r="E169" s="192">
        <v>3000</v>
      </c>
      <c r="F169" s="193">
        <f t="shared" si="8"/>
        <v>2460</v>
      </c>
      <c r="G169" s="194">
        <f t="shared" si="9"/>
        <v>2550</v>
      </c>
      <c r="H169" s="195">
        <f t="shared" si="10"/>
        <v>2700</v>
      </c>
      <c r="I169" s="192">
        <f t="shared" si="11"/>
        <v>2850</v>
      </c>
      <c r="J169" s="196"/>
      <c r="K169" s="196"/>
      <c r="L169" s="198" t="str">
        <f>IFERROR(VLOOKUP(#REF!,'[3]0-LPM'!$A$6:$D$10668,4,0),"")</f>
        <v/>
      </c>
      <c r="M169" s="188"/>
      <c r="N169" s="198">
        <f>IFERROR(VLOOKUP(A169,'[3]0-LPM'!$A$6:$D$10668,4,0),"")</f>
        <v>1118.9421833333333</v>
      </c>
      <c r="O169" s="190"/>
      <c r="P169" s="208"/>
      <c r="Q169" s="209"/>
    </row>
    <row r="170" spans="1:17" ht="12.2" customHeight="1" x14ac:dyDescent="0.25">
      <c r="A170" s="189" t="s">
        <v>390</v>
      </c>
      <c r="B170" s="207" t="s">
        <v>372</v>
      </c>
      <c r="C170" s="190" t="s">
        <v>391</v>
      </c>
      <c r="D170" s="191">
        <v>6300</v>
      </c>
      <c r="E170" s="192">
        <v>3800</v>
      </c>
      <c r="F170" s="193">
        <f t="shared" si="8"/>
        <v>3120</v>
      </c>
      <c r="G170" s="194">
        <f t="shared" si="9"/>
        <v>3230</v>
      </c>
      <c r="H170" s="195">
        <f t="shared" si="10"/>
        <v>3420</v>
      </c>
      <c r="I170" s="192">
        <f t="shared" si="11"/>
        <v>3610</v>
      </c>
      <c r="J170" s="196"/>
      <c r="K170" s="196"/>
      <c r="L170" s="198" t="str">
        <f>IFERROR(VLOOKUP(#REF!,'[3]0-LPM'!$A$6:$D$10668,4,0),"")</f>
        <v/>
      </c>
      <c r="M170" s="188"/>
      <c r="N170" s="198">
        <f>IFERROR(VLOOKUP(A170,'[3]0-LPM'!$A$6:$D$10668,4,0),"")</f>
        <v>100.22660416666666</v>
      </c>
      <c r="O170" s="190"/>
      <c r="P170" s="208"/>
      <c r="Q170" s="209"/>
    </row>
    <row r="171" spans="1:17" ht="12.2" customHeight="1" x14ac:dyDescent="0.25">
      <c r="A171" s="189" t="s">
        <v>392</v>
      </c>
      <c r="B171" s="207" t="s">
        <v>372</v>
      </c>
      <c r="C171" s="190" t="s">
        <v>393</v>
      </c>
      <c r="D171" s="191">
        <v>5100</v>
      </c>
      <c r="E171" s="192">
        <v>3000</v>
      </c>
      <c r="F171" s="193">
        <f t="shared" si="8"/>
        <v>2460</v>
      </c>
      <c r="G171" s="194">
        <f t="shared" si="9"/>
        <v>2550</v>
      </c>
      <c r="H171" s="195">
        <f t="shared" si="10"/>
        <v>2700</v>
      </c>
      <c r="I171" s="192">
        <f t="shared" si="11"/>
        <v>2850</v>
      </c>
      <c r="J171" s="196"/>
      <c r="K171" s="196"/>
      <c r="L171" s="198" t="str">
        <f>IFERROR(VLOOKUP(#REF!,'[3]0-LPM'!$A$6:$D$10668,4,0),"")</f>
        <v/>
      </c>
      <c r="M171" s="188"/>
      <c r="N171" s="198">
        <f>IFERROR(VLOOKUP(A171,'[3]0-LPM'!$A$6:$D$10668,4,0),"")</f>
        <v>0</v>
      </c>
      <c r="O171" s="190"/>
      <c r="P171" s="208"/>
      <c r="Q171" s="209"/>
    </row>
    <row r="172" spans="1:17" ht="12.2" customHeight="1" x14ac:dyDescent="0.25">
      <c r="A172" s="189" t="s">
        <v>394</v>
      </c>
      <c r="B172" s="207" t="s">
        <v>372</v>
      </c>
      <c r="C172" s="190" t="s">
        <v>395</v>
      </c>
      <c r="D172" s="191">
        <v>9700</v>
      </c>
      <c r="E172" s="192">
        <v>5800</v>
      </c>
      <c r="F172" s="193">
        <f t="shared" si="8"/>
        <v>4760</v>
      </c>
      <c r="G172" s="194">
        <f t="shared" si="9"/>
        <v>4930</v>
      </c>
      <c r="H172" s="195">
        <f t="shared" si="10"/>
        <v>5220</v>
      </c>
      <c r="I172" s="192">
        <f t="shared" si="11"/>
        <v>5510</v>
      </c>
      <c r="J172" s="196"/>
      <c r="K172" s="196"/>
      <c r="L172" s="198" t="str">
        <f>IFERROR(VLOOKUP(#REF!,'[3]0-LPM'!$A$6:$D$10668,4,0),"")</f>
        <v/>
      </c>
      <c r="M172" s="188"/>
      <c r="N172" s="198">
        <f>IFERROR(VLOOKUP(A172,'[3]0-LPM'!$A$6:$D$10668,4,0),"")</f>
        <v>0</v>
      </c>
      <c r="O172" s="190"/>
      <c r="P172" s="208"/>
      <c r="Q172" s="209"/>
    </row>
    <row r="173" spans="1:17" ht="12.2" customHeight="1" x14ac:dyDescent="0.25">
      <c r="A173" s="189" t="s">
        <v>396</v>
      </c>
      <c r="B173" s="207" t="s">
        <v>372</v>
      </c>
      <c r="C173" s="190" t="s">
        <v>397</v>
      </c>
      <c r="D173" s="191">
        <v>10600</v>
      </c>
      <c r="E173" s="192">
        <v>6300</v>
      </c>
      <c r="F173" s="193">
        <f t="shared" si="8"/>
        <v>5170</v>
      </c>
      <c r="G173" s="194">
        <f t="shared" si="9"/>
        <v>5360</v>
      </c>
      <c r="H173" s="195">
        <f t="shared" si="10"/>
        <v>5670</v>
      </c>
      <c r="I173" s="192">
        <f t="shared" si="11"/>
        <v>5990</v>
      </c>
      <c r="J173" s="196"/>
      <c r="K173" s="196"/>
      <c r="L173" s="198" t="str">
        <f>IFERROR(VLOOKUP(#REF!,'[3]0-LPM'!$A$6:$D$10668,4,0),"")</f>
        <v/>
      </c>
      <c r="M173" s="188"/>
      <c r="N173" s="198">
        <f>IFERROR(VLOOKUP(A173,'[3]0-LPM'!$A$6:$D$10668,4,0),"")</f>
        <v>0</v>
      </c>
      <c r="O173" s="190"/>
      <c r="P173" s="208"/>
      <c r="Q173" s="209"/>
    </row>
    <row r="174" spans="1:17" ht="12.2" customHeight="1" x14ac:dyDescent="0.25">
      <c r="A174" s="189" t="s">
        <v>398</v>
      </c>
      <c r="B174" s="207" t="s">
        <v>372</v>
      </c>
      <c r="C174" s="190" t="s">
        <v>399</v>
      </c>
      <c r="D174" s="191">
        <v>9500</v>
      </c>
      <c r="E174" s="192">
        <v>5700</v>
      </c>
      <c r="F174" s="193">
        <f t="shared" si="8"/>
        <v>4670</v>
      </c>
      <c r="G174" s="194">
        <f t="shared" si="9"/>
        <v>4850</v>
      </c>
      <c r="H174" s="195">
        <f t="shared" si="10"/>
        <v>5130</v>
      </c>
      <c r="I174" s="192">
        <f t="shared" si="11"/>
        <v>5420</v>
      </c>
      <c r="J174" s="196"/>
      <c r="K174" s="196"/>
      <c r="L174" s="198" t="str">
        <f>IFERROR(VLOOKUP(#REF!,'[3]0-LPM'!$A$6:$D$10668,4,0),"")</f>
        <v/>
      </c>
      <c r="M174" s="188"/>
      <c r="N174" s="198">
        <f>IFERROR(VLOOKUP(A174,'[3]0-LPM'!$A$6:$D$10668,4,0),"")</f>
        <v>0</v>
      </c>
      <c r="O174" s="190"/>
      <c r="P174" s="208"/>
      <c r="Q174" s="209"/>
    </row>
    <row r="175" spans="1:17" ht="12.2" customHeight="1" x14ac:dyDescent="0.25">
      <c r="A175" s="189" t="s">
        <v>400</v>
      </c>
      <c r="B175" s="207" t="s">
        <v>372</v>
      </c>
      <c r="C175" s="190" t="s">
        <v>401</v>
      </c>
      <c r="D175" s="191">
        <v>5000</v>
      </c>
      <c r="E175" s="192">
        <v>3000</v>
      </c>
      <c r="F175" s="193">
        <f t="shared" si="8"/>
        <v>2460</v>
      </c>
      <c r="G175" s="194">
        <f t="shared" si="9"/>
        <v>2550</v>
      </c>
      <c r="H175" s="195">
        <f t="shared" si="10"/>
        <v>2700</v>
      </c>
      <c r="I175" s="192">
        <f t="shared" si="11"/>
        <v>2850</v>
      </c>
      <c r="J175" s="196"/>
      <c r="K175" s="196"/>
      <c r="L175" s="198" t="str">
        <f>IFERROR(VLOOKUP(#REF!,'[3]0-LPM'!$A$6:$D$10668,4,0),"")</f>
        <v/>
      </c>
      <c r="M175" s="188"/>
      <c r="N175" s="198">
        <f>IFERROR(VLOOKUP(A175,'[3]0-LPM'!$A$6:$D$10668,4,0),"")</f>
        <v>0</v>
      </c>
      <c r="O175" s="190"/>
      <c r="P175" s="208"/>
      <c r="Q175" s="209"/>
    </row>
    <row r="176" spans="1:17" ht="12.2" customHeight="1" x14ac:dyDescent="0.25">
      <c r="A176" s="189" t="s">
        <v>402</v>
      </c>
      <c r="B176" s="207" t="s">
        <v>372</v>
      </c>
      <c r="C176" s="190" t="s">
        <v>403</v>
      </c>
      <c r="D176" s="191">
        <v>6200</v>
      </c>
      <c r="E176" s="192">
        <v>3700</v>
      </c>
      <c r="F176" s="193">
        <f t="shared" si="8"/>
        <v>3030</v>
      </c>
      <c r="G176" s="194">
        <f t="shared" si="9"/>
        <v>3150</v>
      </c>
      <c r="H176" s="195">
        <f t="shared" si="10"/>
        <v>3330</v>
      </c>
      <c r="I176" s="192">
        <f t="shared" si="11"/>
        <v>3520</v>
      </c>
      <c r="J176" s="196"/>
      <c r="K176" s="196"/>
      <c r="L176" s="198" t="str">
        <f>IFERROR(VLOOKUP(#REF!,'[3]0-LPM'!$A$6:$D$10668,4,0),"")</f>
        <v/>
      </c>
      <c r="M176" s="188"/>
      <c r="N176" s="198" t="str">
        <f>IFERROR(VLOOKUP(A176,'[3]0-LPM'!$A$6:$D$10668,4,0),"")</f>
        <v/>
      </c>
      <c r="O176" s="190"/>
      <c r="P176" s="208"/>
      <c r="Q176" s="209"/>
    </row>
    <row r="177" spans="1:17" ht="12.2" customHeight="1" x14ac:dyDescent="0.25">
      <c r="A177" s="189" t="s">
        <v>404</v>
      </c>
      <c r="B177" s="207" t="s">
        <v>372</v>
      </c>
      <c r="C177" s="190" t="s">
        <v>405</v>
      </c>
      <c r="D177" s="191">
        <v>11000</v>
      </c>
      <c r="E177" s="192">
        <v>6600</v>
      </c>
      <c r="F177" s="193">
        <f t="shared" si="8"/>
        <v>5410</v>
      </c>
      <c r="G177" s="194">
        <f t="shared" si="9"/>
        <v>5610</v>
      </c>
      <c r="H177" s="195">
        <f t="shared" si="10"/>
        <v>5940</v>
      </c>
      <c r="I177" s="192">
        <f t="shared" si="11"/>
        <v>6270</v>
      </c>
      <c r="J177" s="196"/>
      <c r="K177" s="196"/>
      <c r="L177" s="198" t="str">
        <f>IFERROR(VLOOKUP(#REF!,'[3]0-LPM'!$A$6:$D$10668,4,0),"")</f>
        <v/>
      </c>
      <c r="M177" s="188"/>
      <c r="N177" s="198" t="str">
        <f>IFERROR(VLOOKUP(A177,'[3]0-LPM'!$A$6:$D$10668,4,0),"")</f>
        <v/>
      </c>
      <c r="O177" s="190"/>
      <c r="P177" s="208"/>
      <c r="Q177" s="209"/>
    </row>
    <row r="178" spans="1:17" ht="12.2" customHeight="1" x14ac:dyDescent="0.25">
      <c r="A178" s="189" t="s">
        <v>406</v>
      </c>
      <c r="B178" s="207" t="s">
        <v>372</v>
      </c>
      <c r="C178" s="190" t="s">
        <v>407</v>
      </c>
      <c r="D178" s="191">
        <v>5800</v>
      </c>
      <c r="E178" s="192">
        <v>3500</v>
      </c>
      <c r="F178" s="193">
        <f t="shared" si="8"/>
        <v>2870</v>
      </c>
      <c r="G178" s="194">
        <f t="shared" si="9"/>
        <v>2980</v>
      </c>
      <c r="H178" s="195">
        <f t="shared" si="10"/>
        <v>3150</v>
      </c>
      <c r="I178" s="192">
        <f t="shared" si="11"/>
        <v>3330</v>
      </c>
      <c r="J178" s="196"/>
      <c r="K178" s="196"/>
      <c r="L178" s="198" t="str">
        <f>IFERROR(VLOOKUP(#REF!,'[3]0-LPM'!$A$6:$D$10668,4,0),"")</f>
        <v/>
      </c>
      <c r="M178" s="188"/>
      <c r="N178" s="198">
        <f>IFERROR(VLOOKUP(A178,'[3]0-LPM'!$A$6:$D$10668,4,0),"")</f>
        <v>674.00839999999994</v>
      </c>
      <c r="O178" s="190"/>
      <c r="P178" s="208"/>
      <c r="Q178" s="209"/>
    </row>
    <row r="179" spans="1:17" ht="12.2" customHeight="1" x14ac:dyDescent="0.25">
      <c r="A179" s="189" t="s">
        <v>408</v>
      </c>
      <c r="B179" s="207" t="s">
        <v>372</v>
      </c>
      <c r="C179" s="190" t="s">
        <v>409</v>
      </c>
      <c r="D179" s="191">
        <v>5800</v>
      </c>
      <c r="E179" s="192">
        <v>3500</v>
      </c>
      <c r="F179" s="193">
        <f t="shared" si="8"/>
        <v>2870</v>
      </c>
      <c r="G179" s="194">
        <f t="shared" si="9"/>
        <v>2980</v>
      </c>
      <c r="H179" s="195">
        <f t="shared" si="10"/>
        <v>3150</v>
      </c>
      <c r="I179" s="192">
        <f t="shared" si="11"/>
        <v>3330</v>
      </c>
      <c r="J179" s="196"/>
      <c r="K179" s="196"/>
      <c r="L179" s="198" t="str">
        <f>IFERROR(VLOOKUP(#REF!,'[3]0-LPM'!$A$6:$D$10668,4,0),"")</f>
        <v/>
      </c>
      <c r="M179" s="188"/>
      <c r="N179" s="198">
        <f>IFERROR(VLOOKUP(A179,'[3]0-LPM'!$A$6:$D$10668,4,0),"")</f>
        <v>674.00839999999994</v>
      </c>
      <c r="O179" s="190"/>
      <c r="P179" s="208"/>
      <c r="Q179" s="209"/>
    </row>
    <row r="180" spans="1:17" ht="12.2" customHeight="1" x14ac:dyDescent="0.25">
      <c r="A180" s="189" t="s">
        <v>410</v>
      </c>
      <c r="B180" s="207" t="s">
        <v>372</v>
      </c>
      <c r="C180" s="190" t="s">
        <v>411</v>
      </c>
      <c r="D180" s="191">
        <v>6200</v>
      </c>
      <c r="E180" s="192">
        <v>3700</v>
      </c>
      <c r="F180" s="193">
        <f t="shared" si="8"/>
        <v>3030</v>
      </c>
      <c r="G180" s="194">
        <f t="shared" si="9"/>
        <v>3150</v>
      </c>
      <c r="H180" s="195">
        <f t="shared" si="10"/>
        <v>3330</v>
      </c>
      <c r="I180" s="192">
        <f t="shared" si="11"/>
        <v>3520</v>
      </c>
      <c r="J180" s="196"/>
      <c r="K180" s="196"/>
      <c r="L180" s="198" t="str">
        <f>IFERROR(VLOOKUP(#REF!,'[3]0-LPM'!$A$6:$D$10668,4,0),"")</f>
        <v/>
      </c>
      <c r="M180" s="188"/>
      <c r="N180" s="198">
        <f>IFERROR(VLOOKUP(A180,'[3]0-LPM'!$A$6:$D$10668,4,0),"")</f>
        <v>1274.3029111111111</v>
      </c>
      <c r="O180" s="190"/>
      <c r="P180" s="208"/>
      <c r="Q180" s="209"/>
    </row>
    <row r="181" spans="1:17" ht="12.2" customHeight="1" x14ac:dyDescent="0.25">
      <c r="A181" s="189" t="s">
        <v>412</v>
      </c>
      <c r="B181" s="207" t="s">
        <v>372</v>
      </c>
      <c r="C181" s="190" t="s">
        <v>413</v>
      </c>
      <c r="D181" s="191">
        <v>6200</v>
      </c>
      <c r="E181" s="192">
        <v>3700</v>
      </c>
      <c r="F181" s="193">
        <f t="shared" si="8"/>
        <v>3030</v>
      </c>
      <c r="G181" s="194">
        <f t="shared" si="9"/>
        <v>3150</v>
      </c>
      <c r="H181" s="195">
        <f t="shared" si="10"/>
        <v>3330</v>
      </c>
      <c r="I181" s="192">
        <f t="shared" si="11"/>
        <v>3520</v>
      </c>
      <c r="J181" s="196"/>
      <c r="K181" s="196"/>
      <c r="L181" s="198" t="str">
        <f>IFERROR(VLOOKUP(#REF!,'[3]0-LPM'!$A$6:$D$10668,4,0),"")</f>
        <v/>
      </c>
      <c r="M181" s="188"/>
      <c r="N181" s="198">
        <f>IFERROR(VLOOKUP(A181,'[3]0-LPM'!$A$6:$D$10668,4,0),"")</f>
        <v>705.09171111111118</v>
      </c>
      <c r="O181" s="190"/>
      <c r="P181" s="208"/>
      <c r="Q181" s="209"/>
    </row>
    <row r="182" spans="1:17" ht="12.2" customHeight="1" x14ac:dyDescent="0.25">
      <c r="A182" s="189" t="s">
        <v>414</v>
      </c>
      <c r="B182" s="207" t="s">
        <v>372</v>
      </c>
      <c r="C182" s="190" t="s">
        <v>415</v>
      </c>
      <c r="D182" s="191">
        <v>6200</v>
      </c>
      <c r="E182" s="192">
        <v>3700</v>
      </c>
      <c r="F182" s="193">
        <f t="shared" si="8"/>
        <v>3030</v>
      </c>
      <c r="G182" s="194">
        <f t="shared" si="9"/>
        <v>3150</v>
      </c>
      <c r="H182" s="195">
        <f t="shared" si="10"/>
        <v>3330</v>
      </c>
      <c r="I182" s="192">
        <f t="shared" si="11"/>
        <v>3520</v>
      </c>
      <c r="J182" s="196"/>
      <c r="K182" s="196"/>
      <c r="L182" s="198" t="str">
        <f>IFERROR(VLOOKUP(#REF!,'[3]0-LPM'!$A$6:$D$10668,4,0),"")</f>
        <v/>
      </c>
      <c r="M182" s="188"/>
      <c r="N182" s="198">
        <f>IFERROR(VLOOKUP(A182,'[3]0-LPM'!$A$6:$D$10668,4,0),"")</f>
        <v>668.59479999999996</v>
      </c>
      <c r="O182" s="190"/>
      <c r="P182" s="208"/>
      <c r="Q182" s="209"/>
    </row>
    <row r="183" spans="1:17" ht="12.2" customHeight="1" x14ac:dyDescent="0.25">
      <c r="A183" s="189" t="s">
        <v>416</v>
      </c>
      <c r="B183" s="207" t="s">
        <v>372</v>
      </c>
      <c r="C183" s="190" t="s">
        <v>417</v>
      </c>
      <c r="D183" s="191">
        <v>13500</v>
      </c>
      <c r="E183" s="192">
        <v>8100</v>
      </c>
      <c r="F183" s="193">
        <f t="shared" si="8"/>
        <v>6640</v>
      </c>
      <c r="G183" s="194">
        <f t="shared" si="9"/>
        <v>6890</v>
      </c>
      <c r="H183" s="195">
        <f t="shared" si="10"/>
        <v>7290</v>
      </c>
      <c r="I183" s="192">
        <f t="shared" si="11"/>
        <v>7700</v>
      </c>
      <c r="J183" s="196"/>
      <c r="K183" s="196"/>
      <c r="L183" s="198" t="str">
        <f>IFERROR(VLOOKUP(#REF!,'[3]0-LPM'!$A$6:$D$10668,4,0),"")</f>
        <v/>
      </c>
      <c r="M183" s="188"/>
      <c r="N183" s="198">
        <f>IFERROR(VLOOKUP(A183,'[3]0-LPM'!$A$6:$D$10668,4,0),"")</f>
        <v>662.96071666666671</v>
      </c>
      <c r="O183" s="190"/>
      <c r="P183" s="208"/>
      <c r="Q183" s="209"/>
    </row>
    <row r="184" spans="1:17" ht="12.2" customHeight="1" x14ac:dyDescent="0.25">
      <c r="A184" s="189" t="s">
        <v>418</v>
      </c>
      <c r="B184" s="207" t="s">
        <v>372</v>
      </c>
      <c r="C184" s="190" t="s">
        <v>419</v>
      </c>
      <c r="D184" s="191">
        <v>5100</v>
      </c>
      <c r="E184" s="192">
        <v>3000</v>
      </c>
      <c r="F184" s="193">
        <f t="shared" si="8"/>
        <v>2460</v>
      </c>
      <c r="G184" s="194">
        <f t="shared" si="9"/>
        <v>2550</v>
      </c>
      <c r="H184" s="195">
        <f t="shared" si="10"/>
        <v>2700</v>
      </c>
      <c r="I184" s="192">
        <f t="shared" si="11"/>
        <v>2850</v>
      </c>
      <c r="J184" s="196"/>
      <c r="K184" s="196"/>
      <c r="L184" s="198" t="str">
        <f>IFERROR(VLOOKUP(#REF!,'[3]0-LPM'!$A$6:$D$10668,4,0),"")</f>
        <v/>
      </c>
      <c r="M184" s="188"/>
      <c r="N184" s="198">
        <f>IFERROR(VLOOKUP(A184,'[3]0-LPM'!$A$6:$D$10668,4,0),"")</f>
        <v>0</v>
      </c>
      <c r="O184" s="190"/>
      <c r="P184" s="208"/>
      <c r="Q184" s="209"/>
    </row>
    <row r="185" spans="1:17" ht="12.2" customHeight="1" x14ac:dyDescent="0.25">
      <c r="A185" s="189" t="s">
        <v>420</v>
      </c>
      <c r="B185" s="207" t="s">
        <v>372</v>
      </c>
      <c r="C185" s="190" t="s">
        <v>421</v>
      </c>
      <c r="D185" s="191">
        <v>31700</v>
      </c>
      <c r="E185" s="192">
        <v>19000</v>
      </c>
      <c r="F185" s="193">
        <f t="shared" si="8"/>
        <v>15580</v>
      </c>
      <c r="G185" s="194">
        <f t="shared" si="9"/>
        <v>16150</v>
      </c>
      <c r="H185" s="195">
        <f t="shared" si="10"/>
        <v>17100</v>
      </c>
      <c r="I185" s="192">
        <f t="shared" si="11"/>
        <v>18050</v>
      </c>
      <c r="J185" s="196"/>
      <c r="K185" s="196"/>
      <c r="L185" s="198" t="str">
        <f>IFERROR(VLOOKUP(#REF!,'[3]0-LPM'!$A$6:$D$10668,4,0),"")</f>
        <v/>
      </c>
      <c r="M185" s="188"/>
      <c r="N185" s="198">
        <f>IFERROR(VLOOKUP(A185,'[3]0-LPM'!$A$6:$D$10668,4,0),"")</f>
        <v>0</v>
      </c>
      <c r="O185" s="190"/>
      <c r="P185" s="208"/>
      <c r="Q185" s="209"/>
    </row>
    <row r="186" spans="1:17" ht="12.2" customHeight="1" x14ac:dyDescent="0.25">
      <c r="A186" s="189" t="s">
        <v>422</v>
      </c>
      <c r="B186" s="207" t="s">
        <v>372</v>
      </c>
      <c r="C186" s="190" t="s">
        <v>423</v>
      </c>
      <c r="D186" s="191">
        <v>11000</v>
      </c>
      <c r="E186" s="192">
        <v>6600</v>
      </c>
      <c r="F186" s="193">
        <f t="shared" si="8"/>
        <v>5410</v>
      </c>
      <c r="G186" s="194">
        <f t="shared" si="9"/>
        <v>5610</v>
      </c>
      <c r="H186" s="195">
        <f t="shared" si="10"/>
        <v>5940</v>
      </c>
      <c r="I186" s="192">
        <f t="shared" si="11"/>
        <v>6270</v>
      </c>
      <c r="J186" s="196"/>
      <c r="K186" s="196"/>
      <c r="L186" s="198" t="str">
        <f>IFERROR(VLOOKUP(#REF!,'[3]0-LPM'!$A$6:$D$10668,4,0),"")</f>
        <v/>
      </c>
      <c r="M186" s="188"/>
      <c r="N186" s="198">
        <f>IFERROR(VLOOKUP(A186,'[3]0-LPM'!$A$6:$D$10668,4,0),"")</f>
        <v>0</v>
      </c>
      <c r="O186" s="190"/>
      <c r="P186" s="208"/>
      <c r="Q186" s="209"/>
    </row>
    <row r="187" spans="1:17" ht="12.2" customHeight="1" x14ac:dyDescent="0.25">
      <c r="A187" s="189" t="s">
        <v>424</v>
      </c>
      <c r="B187" s="207" t="s">
        <v>372</v>
      </c>
      <c r="C187" s="190" t="s">
        <v>425</v>
      </c>
      <c r="D187" s="191">
        <v>13400</v>
      </c>
      <c r="E187" s="192">
        <v>8100</v>
      </c>
      <c r="F187" s="193">
        <f t="shared" si="8"/>
        <v>6640</v>
      </c>
      <c r="G187" s="194">
        <f t="shared" si="9"/>
        <v>6890</v>
      </c>
      <c r="H187" s="195">
        <f t="shared" si="10"/>
        <v>7290</v>
      </c>
      <c r="I187" s="192">
        <f t="shared" si="11"/>
        <v>7700</v>
      </c>
      <c r="J187" s="196"/>
      <c r="K187" s="196"/>
      <c r="L187" s="198" t="str">
        <f>IFERROR(VLOOKUP(#REF!,'[3]0-LPM'!$A$6:$D$10668,4,0),"")</f>
        <v/>
      </c>
      <c r="M187" s="188"/>
      <c r="N187" s="198">
        <f>IFERROR(VLOOKUP(A187,'[3]0-LPM'!$A$6:$D$10668,4,0),"")</f>
        <v>0</v>
      </c>
      <c r="O187" s="190"/>
      <c r="P187" s="208"/>
      <c r="Q187" s="209"/>
    </row>
    <row r="188" spans="1:17" ht="12.2" customHeight="1" x14ac:dyDescent="0.25">
      <c r="A188" s="189" t="s">
        <v>426</v>
      </c>
      <c r="B188" s="207" t="s">
        <v>372</v>
      </c>
      <c r="C188" s="190" t="s">
        <v>427</v>
      </c>
      <c r="D188" s="191">
        <v>31800</v>
      </c>
      <c r="E188" s="192">
        <v>19100</v>
      </c>
      <c r="F188" s="193">
        <f t="shared" si="8"/>
        <v>15660</v>
      </c>
      <c r="G188" s="194">
        <f t="shared" si="9"/>
        <v>16240</v>
      </c>
      <c r="H188" s="195">
        <f t="shared" si="10"/>
        <v>17190</v>
      </c>
      <c r="I188" s="192">
        <f t="shared" si="11"/>
        <v>18150</v>
      </c>
      <c r="J188" s="196"/>
      <c r="K188" s="196"/>
      <c r="L188" s="198" t="str">
        <f>IFERROR(VLOOKUP(#REF!,'[3]0-LPM'!$A$6:$D$10668,4,0),"")</f>
        <v/>
      </c>
      <c r="M188" s="188"/>
      <c r="N188" s="198">
        <f>IFERROR(VLOOKUP(A188,'[3]0-LPM'!$A$6:$D$10668,4,0),"")</f>
        <v>0</v>
      </c>
      <c r="O188" s="190"/>
      <c r="P188" s="208"/>
      <c r="Q188" s="209"/>
    </row>
    <row r="189" spans="1:17" ht="12.2" customHeight="1" x14ac:dyDescent="0.25">
      <c r="A189" s="189" t="s">
        <v>428</v>
      </c>
      <c r="B189" s="207" t="s">
        <v>372</v>
      </c>
      <c r="C189" s="190" t="s">
        <v>429</v>
      </c>
      <c r="D189" s="191">
        <v>5600</v>
      </c>
      <c r="E189" s="192">
        <v>3400</v>
      </c>
      <c r="F189" s="193">
        <f t="shared" si="8"/>
        <v>2790</v>
      </c>
      <c r="G189" s="194">
        <f t="shared" si="9"/>
        <v>2890</v>
      </c>
      <c r="H189" s="195">
        <f t="shared" si="10"/>
        <v>3060</v>
      </c>
      <c r="I189" s="192">
        <f t="shared" si="11"/>
        <v>3230</v>
      </c>
      <c r="J189" s="196"/>
      <c r="K189" s="196"/>
      <c r="L189" s="198" t="str">
        <f>IFERROR(VLOOKUP(#REF!,'[3]0-LPM'!$A$6:$D$10668,4,0),"")</f>
        <v/>
      </c>
      <c r="M189" s="188"/>
      <c r="N189" s="198">
        <f>IFERROR(VLOOKUP(A189,'[3]0-LPM'!$A$6:$D$10668,4,0),"")</f>
        <v>0</v>
      </c>
      <c r="O189" s="190"/>
      <c r="P189" s="208"/>
      <c r="Q189" s="209"/>
    </row>
    <row r="190" spans="1:17" ht="12.2" customHeight="1" x14ac:dyDescent="0.25">
      <c r="A190" s="199" t="s">
        <v>404</v>
      </c>
      <c r="B190" s="207" t="s">
        <v>372</v>
      </c>
      <c r="C190" s="200" t="s">
        <v>430</v>
      </c>
      <c r="D190" s="191">
        <v>17200</v>
      </c>
      <c r="E190" s="192">
        <v>10300</v>
      </c>
      <c r="F190" s="193">
        <f t="shared" si="8"/>
        <v>8450</v>
      </c>
      <c r="G190" s="194">
        <f t="shared" si="9"/>
        <v>8760</v>
      </c>
      <c r="H190" s="195">
        <f t="shared" si="10"/>
        <v>9270</v>
      </c>
      <c r="I190" s="192">
        <f t="shared" si="11"/>
        <v>9790</v>
      </c>
      <c r="J190" s="196"/>
      <c r="K190" s="196"/>
      <c r="L190" s="198" t="str">
        <f>IFERROR(VLOOKUP(#REF!,'[3]0-LPM'!$A$6:$D$10668,4,0),"")</f>
        <v/>
      </c>
      <c r="M190" s="188"/>
      <c r="N190" s="198" t="str">
        <f>IFERROR(VLOOKUP(A190,'[3]0-LPM'!$A$6:$D$10668,4,0),"")</f>
        <v/>
      </c>
      <c r="O190" s="200"/>
      <c r="P190" s="208"/>
      <c r="Q190" s="209"/>
    </row>
    <row r="191" spans="1:17" ht="12.2" customHeight="1" x14ac:dyDescent="0.25">
      <c r="A191" s="199" t="s">
        <v>431</v>
      </c>
      <c r="B191" s="207" t="s">
        <v>372</v>
      </c>
      <c r="C191" s="200" t="s">
        <v>432</v>
      </c>
      <c r="D191" s="191">
        <v>8000</v>
      </c>
      <c r="E191" s="192">
        <v>4800</v>
      </c>
      <c r="F191" s="193">
        <f t="shared" si="8"/>
        <v>3940</v>
      </c>
      <c r="G191" s="194">
        <f t="shared" si="9"/>
        <v>4080</v>
      </c>
      <c r="H191" s="195">
        <f t="shared" si="10"/>
        <v>4320</v>
      </c>
      <c r="I191" s="192">
        <f t="shared" si="11"/>
        <v>4560</v>
      </c>
      <c r="J191" s="196"/>
      <c r="K191" s="196"/>
      <c r="L191" s="198" t="str">
        <f>IFERROR(VLOOKUP(#REF!,'[3]0-LPM'!$A$6:$D$10668,4,0),"")</f>
        <v/>
      </c>
      <c r="M191" s="188"/>
      <c r="N191" s="198" t="str">
        <f>IFERROR(VLOOKUP(A191,'[3]0-LPM'!$A$6:$D$10668,4,0),"")</f>
        <v/>
      </c>
      <c r="O191" s="200"/>
      <c r="P191" s="208"/>
      <c r="Q191" s="209"/>
    </row>
    <row r="192" spans="1:17" ht="12.2" customHeight="1" x14ac:dyDescent="0.25">
      <c r="A192" s="199" t="s">
        <v>433</v>
      </c>
      <c r="B192" s="207" t="s">
        <v>372</v>
      </c>
      <c r="C192" s="200" t="s">
        <v>434</v>
      </c>
      <c r="D192" s="191">
        <v>0</v>
      </c>
      <c r="E192" s="192">
        <v>0</v>
      </c>
      <c r="F192" s="193">
        <f t="shared" si="8"/>
        <v>0</v>
      </c>
      <c r="G192" s="194">
        <f t="shared" si="9"/>
        <v>0</v>
      </c>
      <c r="H192" s="195">
        <f t="shared" si="10"/>
        <v>0</v>
      </c>
      <c r="I192" s="192">
        <f t="shared" si="11"/>
        <v>0</v>
      </c>
      <c r="J192" s="196"/>
      <c r="K192" s="196"/>
      <c r="L192" s="198" t="str">
        <f>IFERROR(VLOOKUP(#REF!,'[3]0-LPM'!$A$6:$D$10668,4,0),"")</f>
        <v/>
      </c>
      <c r="M192" s="188"/>
      <c r="N192" s="198" t="str">
        <f>IFERROR(VLOOKUP(A192,'[3]0-LPM'!$A$6:$D$10668,4,0),"")</f>
        <v/>
      </c>
      <c r="O192" s="200"/>
      <c r="P192" s="208"/>
      <c r="Q192" s="209"/>
    </row>
    <row r="193" spans="1:17" ht="12.2" customHeight="1" x14ac:dyDescent="0.25">
      <c r="A193" s="204"/>
      <c r="B193" s="205"/>
      <c r="C193" s="206" t="str">
        <f>+B195</f>
        <v>COMIDA</v>
      </c>
      <c r="D193" s="191">
        <v>0</v>
      </c>
      <c r="E193" s="192">
        <v>0</v>
      </c>
      <c r="F193" s="193">
        <f t="shared" si="8"/>
        <v>0</v>
      </c>
      <c r="G193" s="194">
        <f t="shared" si="9"/>
        <v>0</v>
      </c>
      <c r="H193" s="195">
        <f t="shared" si="10"/>
        <v>0</v>
      </c>
      <c r="I193" s="192">
        <f t="shared" si="11"/>
        <v>0</v>
      </c>
      <c r="J193" s="196"/>
      <c r="K193" s="196"/>
      <c r="L193" s="198" t="str">
        <f>IFERROR(VLOOKUP(#REF!,'[3]0-LPM'!$A$6:$D$10668,4,0),"")</f>
        <v/>
      </c>
      <c r="M193" s="188"/>
      <c r="N193" s="198" t="str">
        <f>IFERROR(VLOOKUP(A193,'[3]0-LPM'!$A$6:$D$10668,4,0),"")</f>
        <v/>
      </c>
      <c r="O193" s="206"/>
      <c r="P193" s="208"/>
      <c r="Q193" s="209"/>
    </row>
    <row r="194" spans="1:17" ht="12.2" customHeight="1" x14ac:dyDescent="0.25">
      <c r="A194" s="189" t="s">
        <v>435</v>
      </c>
      <c r="B194" s="207" t="s">
        <v>436</v>
      </c>
      <c r="C194" s="190" t="s">
        <v>437</v>
      </c>
      <c r="D194" s="191">
        <v>5600</v>
      </c>
      <c r="E194" s="192">
        <v>3400</v>
      </c>
      <c r="F194" s="193">
        <f t="shared" si="8"/>
        <v>2790</v>
      </c>
      <c r="G194" s="194">
        <f t="shared" si="9"/>
        <v>2890</v>
      </c>
      <c r="H194" s="195">
        <f t="shared" si="10"/>
        <v>3060</v>
      </c>
      <c r="I194" s="192">
        <f t="shared" si="11"/>
        <v>3230</v>
      </c>
      <c r="J194" s="196"/>
      <c r="K194" s="196"/>
      <c r="L194" s="198" t="str">
        <f>IFERROR(VLOOKUP(#REF!,'[3]0-LPM'!$A$6:$D$10668,4,0),"")</f>
        <v/>
      </c>
      <c r="M194" s="188"/>
      <c r="N194" s="198">
        <f>IFERROR(VLOOKUP(A194,'[3]0-LPM'!$A$6:$D$10668,4,0),"")</f>
        <v>374.73684210526318</v>
      </c>
      <c r="O194" s="190"/>
      <c r="P194" s="208"/>
      <c r="Q194" s="209"/>
    </row>
    <row r="195" spans="1:17" ht="12.2" customHeight="1" x14ac:dyDescent="0.25">
      <c r="A195" s="189" t="s">
        <v>438</v>
      </c>
      <c r="B195" s="207" t="s">
        <v>436</v>
      </c>
      <c r="C195" s="190" t="s">
        <v>439</v>
      </c>
      <c r="D195" s="191">
        <v>12200</v>
      </c>
      <c r="E195" s="192">
        <v>7300</v>
      </c>
      <c r="F195" s="193">
        <f t="shared" si="8"/>
        <v>5990</v>
      </c>
      <c r="G195" s="194">
        <f t="shared" si="9"/>
        <v>6210</v>
      </c>
      <c r="H195" s="195">
        <f t="shared" si="10"/>
        <v>6570</v>
      </c>
      <c r="I195" s="192">
        <f t="shared" si="11"/>
        <v>6940</v>
      </c>
      <c r="J195" s="196"/>
      <c r="K195" s="196"/>
      <c r="L195" s="198" t="str">
        <f>IFERROR(VLOOKUP(#REF!,'[3]0-LPM'!$A$6:$D$10668,4,0),"")</f>
        <v/>
      </c>
      <c r="M195" s="188"/>
      <c r="N195" s="198">
        <f>IFERROR(VLOOKUP(A195,'[3]0-LPM'!$A$6:$D$10668,4,0),"")</f>
        <v>0</v>
      </c>
      <c r="O195" s="190"/>
      <c r="P195" s="208"/>
      <c r="Q195" s="209"/>
    </row>
    <row r="196" spans="1:17" ht="12.2" customHeight="1" x14ac:dyDescent="0.25">
      <c r="A196" s="189" t="s">
        <v>440</v>
      </c>
      <c r="B196" s="207" t="s">
        <v>436</v>
      </c>
      <c r="C196" s="190" t="s">
        <v>441</v>
      </c>
      <c r="D196" s="191">
        <v>14400</v>
      </c>
      <c r="E196" s="192">
        <v>8600</v>
      </c>
      <c r="F196" s="193">
        <f t="shared" si="8"/>
        <v>7050</v>
      </c>
      <c r="G196" s="194">
        <f t="shared" si="9"/>
        <v>7310</v>
      </c>
      <c r="H196" s="195">
        <f t="shared" si="10"/>
        <v>7740</v>
      </c>
      <c r="I196" s="192">
        <f t="shared" si="11"/>
        <v>8170</v>
      </c>
      <c r="J196" s="196"/>
      <c r="K196" s="196"/>
      <c r="L196" s="198" t="str">
        <f>IFERROR(VLOOKUP(#REF!,'[3]0-LPM'!$A$6:$D$10668,4,0),"")</f>
        <v/>
      </c>
      <c r="M196" s="188"/>
      <c r="N196" s="198">
        <f>IFERROR(VLOOKUP(A196,'[3]0-LPM'!$A$6:$D$10668,4,0),"")</f>
        <v>1688.9355</v>
      </c>
      <c r="O196" s="190"/>
      <c r="P196" s="208"/>
      <c r="Q196" s="209"/>
    </row>
    <row r="197" spans="1:17" ht="12.2" customHeight="1" x14ac:dyDescent="0.25">
      <c r="A197" s="189" t="s">
        <v>442</v>
      </c>
      <c r="B197" s="207" t="s">
        <v>436</v>
      </c>
      <c r="C197" s="190" t="s">
        <v>443</v>
      </c>
      <c r="D197" s="191">
        <v>31100</v>
      </c>
      <c r="E197" s="192">
        <v>18700</v>
      </c>
      <c r="F197" s="193">
        <f t="shared" si="8"/>
        <v>15330</v>
      </c>
      <c r="G197" s="194">
        <f t="shared" si="9"/>
        <v>15900</v>
      </c>
      <c r="H197" s="195">
        <f t="shared" si="10"/>
        <v>16830</v>
      </c>
      <c r="I197" s="192">
        <f t="shared" si="11"/>
        <v>17770</v>
      </c>
      <c r="J197" s="196"/>
      <c r="K197" s="196"/>
      <c r="L197" s="198" t="str">
        <f>IFERROR(VLOOKUP(#REF!,'[3]0-LPM'!$A$6:$D$10668,4,0),"")</f>
        <v/>
      </c>
      <c r="M197" s="188"/>
      <c r="N197" s="198">
        <f>IFERROR(VLOOKUP(A197,'[3]0-LPM'!$A$6:$D$10668,4,0),"")</f>
        <v>5957.2245000000003</v>
      </c>
      <c r="O197" s="190"/>
      <c r="P197" s="208"/>
      <c r="Q197" s="209"/>
    </row>
    <row r="198" spans="1:17" ht="12.2" customHeight="1" x14ac:dyDescent="0.25">
      <c r="A198" s="189" t="s">
        <v>444</v>
      </c>
      <c r="B198" s="207" t="s">
        <v>436</v>
      </c>
      <c r="C198" s="190" t="s">
        <v>445</v>
      </c>
      <c r="D198" s="191">
        <v>3200</v>
      </c>
      <c r="E198" s="192">
        <v>1900</v>
      </c>
      <c r="F198" s="193">
        <f t="shared" si="8"/>
        <v>1560</v>
      </c>
      <c r="G198" s="194">
        <f t="shared" si="9"/>
        <v>1620</v>
      </c>
      <c r="H198" s="195">
        <f t="shared" si="10"/>
        <v>1710</v>
      </c>
      <c r="I198" s="192">
        <f t="shared" si="11"/>
        <v>1810</v>
      </c>
      <c r="J198" s="196"/>
      <c r="K198" s="196"/>
      <c r="L198" s="198" t="str">
        <f>IFERROR(VLOOKUP(#REF!,'[3]0-LPM'!$A$6:$D$10668,4,0),"")</f>
        <v/>
      </c>
      <c r="M198" s="188"/>
      <c r="N198" s="198">
        <f>IFERROR(VLOOKUP(A198,'[3]0-LPM'!$A$6:$D$10668,4,0),"")</f>
        <v>496.43537500000002</v>
      </c>
      <c r="O198" s="190"/>
      <c r="P198" s="208"/>
      <c r="Q198" s="209"/>
    </row>
    <row r="199" spans="1:17" ht="12.2" customHeight="1" x14ac:dyDescent="0.25">
      <c r="A199" s="189" t="s">
        <v>446</v>
      </c>
      <c r="B199" s="207" t="s">
        <v>436</v>
      </c>
      <c r="C199" s="190" t="s">
        <v>447</v>
      </c>
      <c r="D199" s="191">
        <v>3200</v>
      </c>
      <c r="E199" s="192">
        <v>1900</v>
      </c>
      <c r="F199" s="193">
        <f t="shared" si="8"/>
        <v>1560</v>
      </c>
      <c r="G199" s="194">
        <f t="shared" si="9"/>
        <v>1620</v>
      </c>
      <c r="H199" s="195">
        <f t="shared" si="10"/>
        <v>1710</v>
      </c>
      <c r="I199" s="192">
        <f t="shared" si="11"/>
        <v>1810</v>
      </c>
      <c r="J199" s="196"/>
      <c r="K199" s="196"/>
      <c r="L199" s="198" t="str">
        <f>IFERROR(VLOOKUP(#REF!,'[3]0-LPM'!$A$6:$D$10668,4,0),"")</f>
        <v/>
      </c>
      <c r="M199" s="188"/>
      <c r="N199" s="198">
        <f>IFERROR(VLOOKUP(A199,'[3]0-LPM'!$A$6:$D$10668,4,0),"")</f>
        <v>799.78947368421052</v>
      </c>
      <c r="O199" s="190"/>
      <c r="P199" s="208"/>
      <c r="Q199" s="209"/>
    </row>
    <row r="200" spans="1:17" ht="12.2" customHeight="1" x14ac:dyDescent="0.25">
      <c r="A200" s="189" t="s">
        <v>448</v>
      </c>
      <c r="B200" s="207" t="s">
        <v>436</v>
      </c>
      <c r="C200" s="190" t="s">
        <v>449</v>
      </c>
      <c r="D200" s="191">
        <v>3200</v>
      </c>
      <c r="E200" s="192">
        <v>1900</v>
      </c>
      <c r="F200" s="193">
        <f t="shared" si="8"/>
        <v>1560</v>
      </c>
      <c r="G200" s="194">
        <f t="shared" si="9"/>
        <v>1620</v>
      </c>
      <c r="H200" s="195">
        <f t="shared" si="10"/>
        <v>1710</v>
      </c>
      <c r="I200" s="192">
        <f t="shared" si="11"/>
        <v>1810</v>
      </c>
      <c r="J200" s="196"/>
      <c r="K200" s="196"/>
      <c r="L200" s="198" t="str">
        <f>IFERROR(VLOOKUP(#REF!,'[3]0-LPM'!$A$6:$D$10668,4,0),"")</f>
        <v/>
      </c>
      <c r="M200" s="188"/>
      <c r="N200" s="198">
        <f>IFERROR(VLOOKUP(A200,'[3]0-LPM'!$A$6:$D$10668,4,0),"")</f>
        <v>404.98947368421051</v>
      </c>
      <c r="O200" s="190"/>
      <c r="P200" s="208"/>
      <c r="Q200" s="209"/>
    </row>
    <row r="201" spans="1:17" ht="12.2" customHeight="1" x14ac:dyDescent="0.25">
      <c r="A201" s="189" t="s">
        <v>450</v>
      </c>
      <c r="B201" s="207" t="s">
        <v>436</v>
      </c>
      <c r="C201" s="190" t="s">
        <v>451</v>
      </c>
      <c r="D201" s="191">
        <v>3200</v>
      </c>
      <c r="E201" s="192">
        <v>1900</v>
      </c>
      <c r="F201" s="193">
        <f t="shared" si="8"/>
        <v>1560</v>
      </c>
      <c r="G201" s="194">
        <f t="shared" si="9"/>
        <v>1620</v>
      </c>
      <c r="H201" s="195">
        <f t="shared" si="10"/>
        <v>1710</v>
      </c>
      <c r="I201" s="192">
        <f t="shared" si="11"/>
        <v>1810</v>
      </c>
      <c r="J201" s="196"/>
      <c r="K201" s="196"/>
      <c r="L201" s="198" t="str">
        <f>IFERROR(VLOOKUP(#REF!,'[3]0-LPM'!$A$6:$D$10668,4,0),"")</f>
        <v/>
      </c>
      <c r="M201" s="188"/>
      <c r="N201" s="198">
        <f>IFERROR(VLOOKUP(A201,'[3]0-LPM'!$A$6:$D$10668,4,0),"")</f>
        <v>0</v>
      </c>
      <c r="O201" s="190"/>
      <c r="P201" s="208"/>
      <c r="Q201" s="209"/>
    </row>
    <row r="202" spans="1:17" ht="12.2" customHeight="1" x14ac:dyDescent="0.25">
      <c r="A202" s="189" t="s">
        <v>452</v>
      </c>
      <c r="B202" s="207" t="s">
        <v>436</v>
      </c>
      <c r="C202" s="190" t="s">
        <v>453</v>
      </c>
      <c r="D202" s="191">
        <v>3200</v>
      </c>
      <c r="E202" s="192">
        <v>1900</v>
      </c>
      <c r="F202" s="193">
        <f t="shared" si="8"/>
        <v>1560</v>
      </c>
      <c r="G202" s="194">
        <f t="shared" si="9"/>
        <v>1620</v>
      </c>
      <c r="H202" s="195">
        <f t="shared" si="10"/>
        <v>1710</v>
      </c>
      <c r="I202" s="192">
        <f t="shared" si="11"/>
        <v>1810</v>
      </c>
      <c r="J202" s="196"/>
      <c r="K202" s="196"/>
      <c r="L202" s="198" t="str">
        <f>IFERROR(VLOOKUP(#REF!,'[3]0-LPM'!$A$6:$D$10668,4,0),"")</f>
        <v/>
      </c>
      <c r="M202" s="188"/>
      <c r="N202" s="198">
        <f>IFERROR(VLOOKUP(A202,'[3]0-LPM'!$A$6:$D$10668,4,0),"")</f>
        <v>496.43537500000002</v>
      </c>
      <c r="O202" s="190"/>
      <c r="P202" s="208"/>
      <c r="Q202" s="209"/>
    </row>
    <row r="203" spans="1:17" ht="12.2" customHeight="1" x14ac:dyDescent="0.25">
      <c r="A203" s="189" t="s">
        <v>454</v>
      </c>
      <c r="B203" s="207" t="s">
        <v>436</v>
      </c>
      <c r="C203" s="190" t="s">
        <v>455</v>
      </c>
      <c r="D203" s="191">
        <v>11900</v>
      </c>
      <c r="E203" s="192">
        <v>7100</v>
      </c>
      <c r="F203" s="193">
        <f t="shared" si="8"/>
        <v>5820</v>
      </c>
      <c r="G203" s="194">
        <f t="shared" si="9"/>
        <v>6040</v>
      </c>
      <c r="H203" s="195">
        <f t="shared" si="10"/>
        <v>6390</v>
      </c>
      <c r="I203" s="192">
        <f t="shared" si="11"/>
        <v>6750</v>
      </c>
      <c r="J203" s="196"/>
      <c r="K203" s="196"/>
      <c r="L203" s="198" t="str">
        <f>IFERROR(VLOOKUP(#REF!,'[3]0-LPM'!$A$6:$D$10668,4,0),"")</f>
        <v/>
      </c>
      <c r="M203" s="188"/>
      <c r="N203" s="198">
        <f>IFERROR(VLOOKUP(A203,'[3]0-LPM'!$A$6:$D$10668,4,0),"")</f>
        <v>0</v>
      </c>
      <c r="O203" s="190"/>
      <c r="P203" s="208"/>
      <c r="Q203" s="209"/>
    </row>
    <row r="204" spans="1:17" ht="12.2" customHeight="1" x14ac:dyDescent="0.25">
      <c r="A204" s="189" t="s">
        <v>456</v>
      </c>
      <c r="B204" s="207" t="s">
        <v>436</v>
      </c>
      <c r="C204" s="190" t="s">
        <v>457</v>
      </c>
      <c r="D204" s="191">
        <v>11900</v>
      </c>
      <c r="E204" s="192">
        <v>7100</v>
      </c>
      <c r="F204" s="193">
        <f t="shared" si="8"/>
        <v>5820</v>
      </c>
      <c r="G204" s="194">
        <f t="shared" si="9"/>
        <v>6040</v>
      </c>
      <c r="H204" s="195">
        <f t="shared" si="10"/>
        <v>6390</v>
      </c>
      <c r="I204" s="192">
        <f t="shared" si="11"/>
        <v>6750</v>
      </c>
      <c r="J204" s="196"/>
      <c r="K204" s="196"/>
      <c r="L204" s="198" t="str">
        <f>IFERROR(VLOOKUP(#REF!,'[3]0-LPM'!$A$6:$D$10668,4,0),"")</f>
        <v/>
      </c>
      <c r="M204" s="188"/>
      <c r="N204" s="198">
        <f>IFERROR(VLOOKUP(A204,'[3]0-LPM'!$A$6:$D$10668,4,0),"")</f>
        <v>0</v>
      </c>
      <c r="O204" s="190"/>
      <c r="P204" s="208"/>
      <c r="Q204" s="209"/>
    </row>
    <row r="205" spans="1:17" ht="12.2" customHeight="1" x14ac:dyDescent="0.25">
      <c r="A205" s="189" t="s">
        <v>458</v>
      </c>
      <c r="B205" s="207" t="s">
        <v>436</v>
      </c>
      <c r="C205" s="190" t="s">
        <v>459</v>
      </c>
      <c r="D205" s="191">
        <v>11900</v>
      </c>
      <c r="E205" s="192">
        <v>7100</v>
      </c>
      <c r="F205" s="193">
        <f t="shared" si="8"/>
        <v>5820</v>
      </c>
      <c r="G205" s="194">
        <f t="shared" si="9"/>
        <v>6040</v>
      </c>
      <c r="H205" s="195">
        <f t="shared" si="10"/>
        <v>6390</v>
      </c>
      <c r="I205" s="192">
        <f t="shared" si="11"/>
        <v>6750</v>
      </c>
      <c r="J205" s="196"/>
      <c r="K205" s="196"/>
      <c r="L205" s="198" t="str">
        <f>IFERROR(VLOOKUP(#REF!,'[3]0-LPM'!$A$6:$D$10668,4,0),"")</f>
        <v/>
      </c>
      <c r="M205" s="188"/>
      <c r="N205" s="198">
        <f>IFERROR(VLOOKUP(A205,'[3]0-LPM'!$A$6:$D$10668,4,0),"")</f>
        <v>1118.5614035087719</v>
      </c>
      <c r="O205" s="190"/>
      <c r="P205" s="208"/>
      <c r="Q205" s="209"/>
    </row>
    <row r="206" spans="1:17" ht="12.2" customHeight="1" x14ac:dyDescent="0.25">
      <c r="A206" s="189" t="s">
        <v>460</v>
      </c>
      <c r="B206" s="207" t="s">
        <v>436</v>
      </c>
      <c r="C206" s="190" t="s">
        <v>461</v>
      </c>
      <c r="D206" s="191">
        <v>11900</v>
      </c>
      <c r="E206" s="192">
        <v>7100</v>
      </c>
      <c r="F206" s="193">
        <f t="shared" si="8"/>
        <v>5820</v>
      </c>
      <c r="G206" s="194">
        <f t="shared" si="9"/>
        <v>6040</v>
      </c>
      <c r="H206" s="195">
        <f t="shared" si="10"/>
        <v>6390</v>
      </c>
      <c r="I206" s="192">
        <f t="shared" si="11"/>
        <v>6750</v>
      </c>
      <c r="J206" s="196"/>
      <c r="K206" s="196"/>
      <c r="L206" s="198" t="str">
        <f>IFERROR(VLOOKUP(#REF!,'[3]0-LPM'!$A$6:$D$10668,4,0),"")</f>
        <v/>
      </c>
      <c r="M206" s="188"/>
      <c r="N206" s="198">
        <f>IFERROR(VLOOKUP(A206,'[3]0-LPM'!$A$6:$D$10668,4,0),"")</f>
        <v>0</v>
      </c>
      <c r="O206" s="190"/>
      <c r="P206" s="208"/>
      <c r="Q206" s="209"/>
    </row>
    <row r="207" spans="1:17" ht="12.2" customHeight="1" x14ac:dyDescent="0.25">
      <c r="A207" s="189" t="s">
        <v>462</v>
      </c>
      <c r="B207" s="207" t="s">
        <v>436</v>
      </c>
      <c r="C207" s="190" t="s">
        <v>463</v>
      </c>
      <c r="D207" s="191">
        <v>11900</v>
      </c>
      <c r="E207" s="192">
        <v>7100</v>
      </c>
      <c r="F207" s="193">
        <f t="shared" si="8"/>
        <v>5820</v>
      </c>
      <c r="G207" s="194">
        <f t="shared" si="9"/>
        <v>6040</v>
      </c>
      <c r="H207" s="195">
        <f t="shared" si="10"/>
        <v>6390</v>
      </c>
      <c r="I207" s="192">
        <f t="shared" si="11"/>
        <v>6750</v>
      </c>
      <c r="J207" s="196"/>
      <c r="K207" s="196"/>
      <c r="L207" s="198" t="str">
        <f>IFERROR(VLOOKUP(#REF!,'[3]0-LPM'!$A$6:$D$10668,4,0),"")</f>
        <v/>
      </c>
      <c r="M207" s="188"/>
      <c r="N207" s="198">
        <f>IFERROR(VLOOKUP(A207,'[3]0-LPM'!$A$6:$D$10668,4,0),"")</f>
        <v>0</v>
      </c>
      <c r="O207" s="190"/>
      <c r="P207" s="208"/>
      <c r="Q207" s="209"/>
    </row>
    <row r="208" spans="1:17" ht="12.2" customHeight="1" x14ac:dyDescent="0.25">
      <c r="A208" s="189" t="s">
        <v>464</v>
      </c>
      <c r="B208" s="207" t="s">
        <v>436</v>
      </c>
      <c r="C208" s="190" t="s">
        <v>465</v>
      </c>
      <c r="D208" s="191">
        <v>11900</v>
      </c>
      <c r="E208" s="192">
        <v>7100</v>
      </c>
      <c r="F208" s="193">
        <f t="shared" si="8"/>
        <v>5820</v>
      </c>
      <c r="G208" s="194">
        <f t="shared" si="9"/>
        <v>6040</v>
      </c>
      <c r="H208" s="195">
        <f t="shared" si="10"/>
        <v>6390</v>
      </c>
      <c r="I208" s="192">
        <f t="shared" si="11"/>
        <v>6750</v>
      </c>
      <c r="J208" s="196"/>
      <c r="K208" s="196"/>
      <c r="L208" s="198" t="str">
        <f>IFERROR(VLOOKUP(#REF!,'[3]0-LPM'!$A$6:$D$10668,4,0),"")</f>
        <v/>
      </c>
      <c r="M208" s="188"/>
      <c r="N208" s="198">
        <f>IFERROR(VLOOKUP(A208,'[3]0-LPM'!$A$6:$D$10668,4,0),"")</f>
        <v>0</v>
      </c>
      <c r="O208" s="190"/>
      <c r="P208" s="208"/>
      <c r="Q208" s="209"/>
    </row>
    <row r="209" spans="1:17" ht="12.2" customHeight="1" x14ac:dyDescent="0.25">
      <c r="A209" s="189" t="s">
        <v>466</v>
      </c>
      <c r="B209" s="207" t="s">
        <v>436</v>
      </c>
      <c r="C209" s="190" t="s">
        <v>467</v>
      </c>
      <c r="D209" s="191">
        <v>11900</v>
      </c>
      <c r="E209" s="192">
        <v>7100</v>
      </c>
      <c r="F209" s="193">
        <f t="shared" si="8"/>
        <v>5820</v>
      </c>
      <c r="G209" s="194">
        <f t="shared" si="9"/>
        <v>6040</v>
      </c>
      <c r="H209" s="195">
        <f t="shared" si="10"/>
        <v>6390</v>
      </c>
      <c r="I209" s="192">
        <f t="shared" si="11"/>
        <v>6750</v>
      </c>
      <c r="J209" s="196"/>
      <c r="K209" s="196"/>
      <c r="L209" s="198" t="str">
        <f>IFERROR(VLOOKUP(#REF!,'[3]0-LPM'!$A$6:$D$10668,4,0),"")</f>
        <v/>
      </c>
      <c r="M209" s="188"/>
      <c r="N209" s="198">
        <f>IFERROR(VLOOKUP(A209,'[3]0-LPM'!$A$6:$D$10668,4,0),"")</f>
        <v>0</v>
      </c>
      <c r="O209" s="190"/>
      <c r="P209" s="208"/>
      <c r="Q209" s="209"/>
    </row>
    <row r="210" spans="1:17" ht="12.2" customHeight="1" x14ac:dyDescent="0.25">
      <c r="A210" s="189" t="s">
        <v>468</v>
      </c>
      <c r="B210" s="207" t="s">
        <v>436</v>
      </c>
      <c r="C210" s="190" t="s">
        <v>469</v>
      </c>
      <c r="D210" s="191">
        <v>15500</v>
      </c>
      <c r="E210" s="192">
        <v>9300</v>
      </c>
      <c r="F210" s="193">
        <f t="shared" si="8"/>
        <v>7630</v>
      </c>
      <c r="G210" s="194">
        <f t="shared" si="9"/>
        <v>7910</v>
      </c>
      <c r="H210" s="195">
        <f t="shared" si="10"/>
        <v>8370</v>
      </c>
      <c r="I210" s="192">
        <f t="shared" si="11"/>
        <v>8840</v>
      </c>
      <c r="J210" s="196"/>
      <c r="K210" s="196"/>
      <c r="L210" s="198" t="str">
        <f>IFERROR(VLOOKUP(#REF!,'[3]0-LPM'!$A$6:$D$10668,4,0),"")</f>
        <v/>
      </c>
      <c r="M210" s="188"/>
      <c r="N210" s="198" t="str">
        <f>IFERROR(VLOOKUP(A210,'[3]0-LPM'!$A$6:$D$10668,4,0),"")</f>
        <v/>
      </c>
      <c r="O210" s="190"/>
      <c r="P210" s="208"/>
      <c r="Q210" s="209"/>
    </row>
    <row r="211" spans="1:17" ht="12.2" customHeight="1" x14ac:dyDescent="0.25">
      <c r="A211" s="189" t="s">
        <v>470</v>
      </c>
      <c r="B211" s="207" t="s">
        <v>436</v>
      </c>
      <c r="C211" s="190" t="s">
        <v>471</v>
      </c>
      <c r="D211" s="191">
        <v>16900</v>
      </c>
      <c r="E211" s="192">
        <v>10200</v>
      </c>
      <c r="F211" s="193">
        <f t="shared" si="8"/>
        <v>8360</v>
      </c>
      <c r="G211" s="194">
        <f t="shared" si="9"/>
        <v>8670</v>
      </c>
      <c r="H211" s="195">
        <f t="shared" si="10"/>
        <v>9180</v>
      </c>
      <c r="I211" s="192">
        <f t="shared" si="11"/>
        <v>9690</v>
      </c>
      <c r="J211" s="196"/>
      <c r="K211" s="196"/>
      <c r="L211" s="198" t="str">
        <f>IFERROR(VLOOKUP(#REF!,'[3]0-LPM'!$A$6:$D$10668,4,0),"")</f>
        <v/>
      </c>
      <c r="M211" s="188"/>
      <c r="N211" s="198" t="str">
        <f>IFERROR(VLOOKUP(A211,'[3]0-LPM'!$A$6:$D$10668,4,0),"")</f>
        <v/>
      </c>
      <c r="O211" s="190"/>
      <c r="P211" s="208"/>
      <c r="Q211" s="209"/>
    </row>
    <row r="212" spans="1:17" ht="12.2" customHeight="1" x14ac:dyDescent="0.25">
      <c r="A212" s="189" t="s">
        <v>472</v>
      </c>
      <c r="B212" s="207" t="s">
        <v>436</v>
      </c>
      <c r="C212" s="190" t="s">
        <v>473</v>
      </c>
      <c r="D212" s="191">
        <v>9200</v>
      </c>
      <c r="E212" s="192">
        <v>5500</v>
      </c>
      <c r="F212" s="193">
        <f t="shared" si="8"/>
        <v>4510</v>
      </c>
      <c r="G212" s="194">
        <f t="shared" si="9"/>
        <v>4680</v>
      </c>
      <c r="H212" s="195">
        <f t="shared" si="10"/>
        <v>4950</v>
      </c>
      <c r="I212" s="192">
        <f t="shared" si="11"/>
        <v>5230</v>
      </c>
      <c r="J212" s="196"/>
      <c r="K212" s="196"/>
      <c r="L212" s="198" t="str">
        <f>IFERROR(VLOOKUP(#REF!,'[3]0-LPM'!$A$6:$D$10668,4,0),"")</f>
        <v/>
      </c>
      <c r="M212" s="188"/>
      <c r="N212" s="198" t="str">
        <f>IFERROR(VLOOKUP(A212,'[3]0-LPM'!$A$6:$D$10668,4,0),"")</f>
        <v/>
      </c>
      <c r="O212" s="190"/>
      <c r="P212" s="208"/>
      <c r="Q212" s="209"/>
    </row>
    <row r="213" spans="1:17" ht="12.2" customHeight="1" x14ac:dyDescent="0.25">
      <c r="A213" s="189" t="s">
        <v>474</v>
      </c>
      <c r="B213" s="207" t="s">
        <v>436</v>
      </c>
      <c r="C213" s="190" t="s">
        <v>475</v>
      </c>
      <c r="D213" s="191">
        <v>18500</v>
      </c>
      <c r="E213" s="192">
        <v>11100</v>
      </c>
      <c r="F213" s="193">
        <f t="shared" si="8"/>
        <v>9100</v>
      </c>
      <c r="G213" s="194">
        <f t="shared" si="9"/>
        <v>9440</v>
      </c>
      <c r="H213" s="195">
        <f t="shared" si="10"/>
        <v>9990</v>
      </c>
      <c r="I213" s="192">
        <f t="shared" si="11"/>
        <v>10550</v>
      </c>
      <c r="J213" s="196"/>
      <c r="K213" s="196"/>
      <c r="L213" s="198" t="str">
        <f>IFERROR(VLOOKUP(#REF!,'[3]0-LPM'!$A$6:$D$10668,4,0),"")</f>
        <v/>
      </c>
      <c r="M213" s="188"/>
      <c r="N213" s="198" t="str">
        <f>IFERROR(VLOOKUP(A213,'[3]0-LPM'!$A$6:$D$10668,4,0),"")</f>
        <v/>
      </c>
      <c r="O213" s="190"/>
      <c r="P213" s="208"/>
      <c r="Q213" s="209"/>
    </row>
    <row r="214" spans="1:17" ht="12.2" customHeight="1" x14ac:dyDescent="0.25">
      <c r="A214" s="189" t="s">
        <v>476</v>
      </c>
      <c r="B214" s="207" t="s">
        <v>436</v>
      </c>
      <c r="C214" s="190" t="s">
        <v>477</v>
      </c>
      <c r="D214" s="191">
        <v>0</v>
      </c>
      <c r="E214" s="192">
        <v>0</v>
      </c>
      <c r="F214" s="193">
        <f t="shared" si="8"/>
        <v>0</v>
      </c>
      <c r="G214" s="194">
        <f t="shared" si="9"/>
        <v>0</v>
      </c>
      <c r="H214" s="195">
        <f t="shared" si="10"/>
        <v>0</v>
      </c>
      <c r="I214" s="192">
        <f t="shared" si="11"/>
        <v>0</v>
      </c>
      <c r="J214" s="196"/>
      <c r="K214" s="196"/>
      <c r="L214" s="198" t="str">
        <f>IFERROR(VLOOKUP(#REF!,'[3]0-LPM'!$A$6:$D$10668,4,0),"")</f>
        <v/>
      </c>
      <c r="M214" s="188"/>
      <c r="N214" s="198" t="str">
        <f>IFERROR(VLOOKUP(A214,'[3]0-LPM'!$A$6:$D$10668,4,0),"")</f>
        <v/>
      </c>
      <c r="O214" s="190"/>
      <c r="P214" s="208"/>
      <c r="Q214" s="209"/>
    </row>
    <row r="215" spans="1:17" ht="12.2" customHeight="1" x14ac:dyDescent="0.25">
      <c r="A215" s="189" t="s">
        <v>478</v>
      </c>
      <c r="B215" s="207" t="s">
        <v>436</v>
      </c>
      <c r="C215" s="190" t="s">
        <v>479</v>
      </c>
      <c r="D215" s="191">
        <v>18500</v>
      </c>
      <c r="E215" s="192">
        <v>11100</v>
      </c>
      <c r="F215" s="193">
        <f t="shared" si="8"/>
        <v>9100</v>
      </c>
      <c r="G215" s="194">
        <f t="shared" si="9"/>
        <v>9440</v>
      </c>
      <c r="H215" s="195">
        <f t="shared" si="10"/>
        <v>9990</v>
      </c>
      <c r="I215" s="192">
        <f t="shared" si="11"/>
        <v>10550</v>
      </c>
      <c r="J215" s="196"/>
      <c r="K215" s="196"/>
      <c r="L215" s="198" t="str">
        <f>IFERROR(VLOOKUP(#REF!,'[3]0-LPM'!$A$6:$D$10668,4,0),"")</f>
        <v/>
      </c>
      <c r="M215" s="188"/>
      <c r="N215" s="198" t="str">
        <f>IFERROR(VLOOKUP(A215,'[3]0-LPM'!$A$6:$D$10668,4,0),"")</f>
        <v/>
      </c>
      <c r="O215" s="190"/>
      <c r="P215" s="208"/>
      <c r="Q215" s="209"/>
    </row>
    <row r="216" spans="1:17" ht="12.2" customHeight="1" x14ac:dyDescent="0.25">
      <c r="A216" s="189" t="s">
        <v>480</v>
      </c>
      <c r="B216" s="207" t="s">
        <v>436</v>
      </c>
      <c r="C216" s="190" t="s">
        <v>481</v>
      </c>
      <c r="D216" s="191">
        <v>0</v>
      </c>
      <c r="E216" s="192">
        <v>0</v>
      </c>
      <c r="F216" s="193">
        <f t="shared" si="8"/>
        <v>0</v>
      </c>
      <c r="G216" s="194">
        <f t="shared" si="9"/>
        <v>0</v>
      </c>
      <c r="H216" s="195">
        <f t="shared" si="10"/>
        <v>0</v>
      </c>
      <c r="I216" s="192">
        <f t="shared" si="11"/>
        <v>0</v>
      </c>
      <c r="J216" s="196"/>
      <c r="K216" s="196"/>
      <c r="L216" s="198" t="str">
        <f>IFERROR(VLOOKUP(#REF!,'[3]0-LPM'!$A$6:$D$10668,4,0),"")</f>
        <v/>
      </c>
      <c r="M216" s="188"/>
      <c r="N216" s="198" t="str">
        <f>IFERROR(VLOOKUP(A216,'[3]0-LPM'!$A$6:$D$10668,4,0),"")</f>
        <v/>
      </c>
      <c r="O216" s="190"/>
      <c r="P216" s="208"/>
      <c r="Q216" s="209"/>
    </row>
    <row r="217" spans="1:17" ht="12.2" customHeight="1" x14ac:dyDescent="0.25">
      <c r="A217" s="189" t="s">
        <v>482</v>
      </c>
      <c r="B217" s="207" t="s">
        <v>436</v>
      </c>
      <c r="C217" s="200" t="s">
        <v>483</v>
      </c>
      <c r="D217" s="191">
        <v>16800</v>
      </c>
      <c r="E217" s="192">
        <v>10100</v>
      </c>
      <c r="F217" s="193">
        <f t="shared" ref="F217:F283" si="12">+ROUND(E217-H217*F$1,-1)</f>
        <v>8280</v>
      </c>
      <c r="G217" s="194">
        <f t="shared" ref="G217:G283" si="13">+ROUND(E217-E217*G$1,-1)</f>
        <v>8590</v>
      </c>
      <c r="H217" s="195">
        <f t="shared" ref="H217:H283" si="14">+ROUND(E217-E217*H$1,-1)</f>
        <v>9090</v>
      </c>
      <c r="I217" s="192">
        <f t="shared" ref="I217:I283" si="15">+ROUND(E217-E217*I$1,-1)</f>
        <v>9600</v>
      </c>
      <c r="J217" s="196"/>
      <c r="K217" s="196"/>
      <c r="L217" s="198" t="str">
        <f>IFERROR(VLOOKUP(#REF!,'[3]0-LPM'!$A$6:$D$10668,4,0),"")</f>
        <v/>
      </c>
      <c r="M217" s="188"/>
      <c r="N217" s="198" t="str">
        <f>IFERROR(VLOOKUP(A217,'[3]0-LPM'!$A$6:$D$10668,4,0),"")</f>
        <v/>
      </c>
      <c r="O217" s="200"/>
      <c r="P217" s="208"/>
      <c r="Q217" s="209"/>
    </row>
    <row r="218" spans="1:17" ht="12.2" customHeight="1" x14ac:dyDescent="0.25">
      <c r="A218" s="189" t="s">
        <v>484</v>
      </c>
      <c r="B218" s="207" t="s">
        <v>436</v>
      </c>
      <c r="C218" s="200" t="s">
        <v>485</v>
      </c>
      <c r="D218" s="191">
        <v>16800</v>
      </c>
      <c r="E218" s="192">
        <v>10100</v>
      </c>
      <c r="F218" s="193">
        <f t="shared" si="12"/>
        <v>8280</v>
      </c>
      <c r="G218" s="194">
        <f t="shared" si="13"/>
        <v>8590</v>
      </c>
      <c r="H218" s="195">
        <f t="shared" si="14"/>
        <v>9090</v>
      </c>
      <c r="I218" s="192">
        <f t="shared" si="15"/>
        <v>9600</v>
      </c>
      <c r="J218" s="196"/>
      <c r="K218" s="196"/>
      <c r="L218" s="198" t="str">
        <f>IFERROR(VLOOKUP(#REF!,'[3]0-LPM'!$A$6:$D$10668,4,0),"")</f>
        <v/>
      </c>
      <c r="M218" s="188"/>
      <c r="N218" s="198" t="str">
        <f>IFERROR(VLOOKUP(A218,'[3]0-LPM'!$A$6:$D$10668,4,0),"")</f>
        <v/>
      </c>
      <c r="O218" s="200"/>
      <c r="P218" s="208"/>
      <c r="Q218" s="209"/>
    </row>
    <row r="219" spans="1:17" ht="12.2" customHeight="1" x14ac:dyDescent="0.25">
      <c r="A219" s="189" t="s">
        <v>486</v>
      </c>
      <c r="B219" s="207" t="s">
        <v>436</v>
      </c>
      <c r="C219" s="200" t="s">
        <v>487</v>
      </c>
      <c r="D219" s="191">
        <v>18800</v>
      </c>
      <c r="E219" s="192">
        <v>11300</v>
      </c>
      <c r="F219" s="193">
        <f t="shared" si="12"/>
        <v>9270</v>
      </c>
      <c r="G219" s="194">
        <f t="shared" si="13"/>
        <v>9610</v>
      </c>
      <c r="H219" s="195">
        <f t="shared" si="14"/>
        <v>10170</v>
      </c>
      <c r="I219" s="192">
        <f t="shared" si="15"/>
        <v>10740</v>
      </c>
      <c r="J219" s="196"/>
      <c r="K219" s="196"/>
      <c r="L219" s="198" t="str">
        <f>IFERROR(VLOOKUP(#REF!,'[3]0-LPM'!$A$6:$D$10668,4,0),"")</f>
        <v/>
      </c>
      <c r="M219" s="188"/>
      <c r="N219" s="198" t="str">
        <f>IFERROR(VLOOKUP(A219,'[3]0-LPM'!$A$6:$D$10668,4,0),"")</f>
        <v/>
      </c>
      <c r="O219" s="200"/>
      <c r="P219" s="208"/>
      <c r="Q219" s="209"/>
    </row>
    <row r="220" spans="1:17" ht="12.2" customHeight="1" x14ac:dyDescent="0.25">
      <c r="A220" s="189" t="s">
        <v>488</v>
      </c>
      <c r="B220" s="207" t="s">
        <v>436</v>
      </c>
      <c r="C220" s="200" t="s">
        <v>489</v>
      </c>
      <c r="D220" s="191">
        <v>9700</v>
      </c>
      <c r="E220" s="192">
        <v>5800</v>
      </c>
      <c r="F220" s="193">
        <f t="shared" si="12"/>
        <v>4760</v>
      </c>
      <c r="G220" s="194">
        <f t="shared" si="13"/>
        <v>4930</v>
      </c>
      <c r="H220" s="195">
        <f t="shared" si="14"/>
        <v>5220</v>
      </c>
      <c r="I220" s="192">
        <f t="shared" si="15"/>
        <v>5510</v>
      </c>
      <c r="J220" s="196"/>
      <c r="K220" s="196"/>
      <c r="L220" s="198"/>
      <c r="M220" s="188"/>
      <c r="N220" s="198" t="str">
        <f>IFERROR(VLOOKUP(A220,'[3]0-LPM'!$A$6:$D$10668,4,0),"")</f>
        <v/>
      </c>
      <c r="O220" s="200"/>
      <c r="P220" s="208"/>
      <c r="Q220" s="209"/>
    </row>
    <row r="221" spans="1:17" ht="12.2" customHeight="1" x14ac:dyDescent="0.25">
      <c r="A221" s="204"/>
      <c r="B221" s="205"/>
      <c r="C221" s="206" t="s">
        <v>490</v>
      </c>
      <c r="D221" s="191">
        <v>0</v>
      </c>
      <c r="E221" s="192">
        <v>0</v>
      </c>
      <c r="F221" s="193">
        <f t="shared" si="12"/>
        <v>0</v>
      </c>
      <c r="G221" s="194">
        <f t="shared" si="13"/>
        <v>0</v>
      </c>
      <c r="H221" s="195">
        <f t="shared" si="14"/>
        <v>0</v>
      </c>
      <c r="I221" s="192">
        <f t="shared" si="15"/>
        <v>0</v>
      </c>
      <c r="J221" s="196"/>
      <c r="K221" s="196"/>
      <c r="L221" s="198"/>
      <c r="M221" s="188"/>
      <c r="N221" s="198" t="str">
        <f>IFERROR(VLOOKUP(A221,'[3]0-LPM'!$A$6:$D$10668,4,0),"")</f>
        <v/>
      </c>
      <c r="O221" s="206"/>
      <c r="P221" s="208"/>
      <c r="Q221" s="209"/>
    </row>
    <row r="222" spans="1:17" ht="12.2" customHeight="1" x14ac:dyDescent="0.25">
      <c r="A222" s="189" t="s">
        <v>491</v>
      </c>
      <c r="B222" s="207" t="s">
        <v>490</v>
      </c>
      <c r="C222" s="190" t="s">
        <v>492</v>
      </c>
      <c r="D222" s="191">
        <v>35900</v>
      </c>
      <c r="E222" s="192">
        <v>21500</v>
      </c>
      <c r="F222" s="193">
        <f t="shared" si="12"/>
        <v>17630</v>
      </c>
      <c r="G222" s="194">
        <f t="shared" si="13"/>
        <v>18280</v>
      </c>
      <c r="H222" s="195">
        <f t="shared" si="14"/>
        <v>19350</v>
      </c>
      <c r="I222" s="192">
        <f t="shared" si="15"/>
        <v>20430</v>
      </c>
      <c r="J222" s="196"/>
      <c r="K222" s="196"/>
      <c r="L222" s="198"/>
      <c r="M222" s="188"/>
      <c r="N222" s="198">
        <f>IFERROR(VLOOKUP(A222,'[3]0-LPM'!$A$6:$D$10668,4,0),"")</f>
        <v>8402.2979241192406</v>
      </c>
      <c r="O222" s="190"/>
      <c r="P222" s="208"/>
      <c r="Q222" s="209"/>
    </row>
    <row r="223" spans="1:17" ht="12.2" customHeight="1" x14ac:dyDescent="0.25">
      <c r="A223" s="189" t="s">
        <v>493</v>
      </c>
      <c r="B223" s="207" t="s">
        <v>490</v>
      </c>
      <c r="C223" s="190" t="s">
        <v>494</v>
      </c>
      <c r="D223" s="191">
        <v>23300</v>
      </c>
      <c r="E223" s="192">
        <v>14000</v>
      </c>
      <c r="F223" s="193">
        <f t="shared" si="12"/>
        <v>11480</v>
      </c>
      <c r="G223" s="194">
        <f t="shared" si="13"/>
        <v>11900</v>
      </c>
      <c r="H223" s="195">
        <f t="shared" si="14"/>
        <v>12600</v>
      </c>
      <c r="I223" s="192">
        <f t="shared" si="15"/>
        <v>13300</v>
      </c>
      <c r="J223" s="196"/>
      <c r="K223" s="196"/>
      <c r="L223" s="198"/>
      <c r="M223" s="188"/>
      <c r="N223" s="198">
        <f>IFERROR(VLOOKUP(A223,'[3]0-LPM'!$A$6:$D$10668,4,0),"")</f>
        <v>3686.5431666666668</v>
      </c>
      <c r="O223" s="190"/>
      <c r="P223" s="208"/>
      <c r="Q223" s="209"/>
    </row>
    <row r="224" spans="1:17" ht="12.2" customHeight="1" x14ac:dyDescent="0.25">
      <c r="A224" s="189" t="s">
        <v>495</v>
      </c>
      <c r="B224" s="207" t="s">
        <v>490</v>
      </c>
      <c r="C224" s="190" t="s">
        <v>496</v>
      </c>
      <c r="D224" s="191">
        <v>16200</v>
      </c>
      <c r="E224" s="192">
        <v>9700</v>
      </c>
      <c r="F224" s="193">
        <f t="shared" si="12"/>
        <v>7950</v>
      </c>
      <c r="G224" s="194">
        <f t="shared" si="13"/>
        <v>8250</v>
      </c>
      <c r="H224" s="195">
        <f t="shared" si="14"/>
        <v>8730</v>
      </c>
      <c r="I224" s="192">
        <f t="shared" si="15"/>
        <v>9220</v>
      </c>
      <c r="J224" s="196"/>
      <c r="K224" s="196"/>
      <c r="L224" s="198"/>
      <c r="M224" s="188"/>
      <c r="N224" s="198">
        <f>IFERROR(VLOOKUP(A224,'[3]0-LPM'!$A$6:$D$10668,4,0),"")</f>
        <v>1993.6194858024692</v>
      </c>
      <c r="O224" s="190"/>
      <c r="P224" s="208"/>
      <c r="Q224" s="209"/>
    </row>
    <row r="225" spans="1:17" ht="12.2" customHeight="1" x14ac:dyDescent="0.25">
      <c r="A225" s="189" t="s">
        <v>497</v>
      </c>
      <c r="B225" s="207" t="s">
        <v>490</v>
      </c>
      <c r="C225" s="190" t="s">
        <v>498</v>
      </c>
      <c r="D225" s="191">
        <v>33900</v>
      </c>
      <c r="E225" s="192">
        <v>20300</v>
      </c>
      <c r="F225" s="193">
        <f t="shared" si="12"/>
        <v>16650</v>
      </c>
      <c r="G225" s="194">
        <f t="shared" si="13"/>
        <v>17260</v>
      </c>
      <c r="H225" s="195">
        <f t="shared" si="14"/>
        <v>18270</v>
      </c>
      <c r="I225" s="192">
        <f t="shared" si="15"/>
        <v>19290</v>
      </c>
      <c r="J225" s="196"/>
      <c r="K225" s="196"/>
      <c r="L225" s="198"/>
      <c r="M225" s="188"/>
      <c r="N225" s="198">
        <f>IFERROR(VLOOKUP(A225,'[3]0-LPM'!$A$6:$D$10668,4,0),"")</f>
        <v>0</v>
      </c>
      <c r="O225" s="190"/>
      <c r="P225" s="208"/>
      <c r="Q225" s="209"/>
    </row>
    <row r="226" spans="1:17" ht="12.2" customHeight="1" x14ac:dyDescent="0.25">
      <c r="A226" s="189" t="s">
        <v>499</v>
      </c>
      <c r="B226" s="207" t="s">
        <v>490</v>
      </c>
      <c r="C226" s="190" t="s">
        <v>500</v>
      </c>
      <c r="D226" s="191">
        <v>29800</v>
      </c>
      <c r="E226" s="192">
        <v>17900</v>
      </c>
      <c r="F226" s="193">
        <f t="shared" si="12"/>
        <v>14680</v>
      </c>
      <c r="G226" s="194">
        <f t="shared" si="13"/>
        <v>15220</v>
      </c>
      <c r="H226" s="195">
        <f t="shared" si="14"/>
        <v>16110</v>
      </c>
      <c r="I226" s="192">
        <f t="shared" si="15"/>
        <v>17010</v>
      </c>
      <c r="J226" s="196"/>
      <c r="K226" s="196"/>
      <c r="L226" s="198"/>
      <c r="M226" s="188"/>
      <c r="N226" s="198">
        <f>IFERROR(VLOOKUP(A226,'[3]0-LPM'!$A$6:$D$10668,4,0),"")</f>
        <v>6779.4065645819901</v>
      </c>
      <c r="O226" s="190"/>
      <c r="P226" s="208"/>
      <c r="Q226" s="209"/>
    </row>
    <row r="227" spans="1:17" ht="12.2" customHeight="1" x14ac:dyDescent="0.25">
      <c r="A227" s="189" t="s">
        <v>501</v>
      </c>
      <c r="B227" s="207" t="s">
        <v>490</v>
      </c>
      <c r="C227" s="190" t="s">
        <v>502</v>
      </c>
      <c r="D227" s="191">
        <v>24600</v>
      </c>
      <c r="E227" s="192">
        <v>14800</v>
      </c>
      <c r="F227" s="193">
        <f t="shared" si="12"/>
        <v>12140</v>
      </c>
      <c r="G227" s="194">
        <f t="shared" si="13"/>
        <v>12580</v>
      </c>
      <c r="H227" s="195">
        <f t="shared" si="14"/>
        <v>13320</v>
      </c>
      <c r="I227" s="192">
        <f t="shared" si="15"/>
        <v>14060</v>
      </c>
      <c r="J227" s="196"/>
      <c r="K227" s="196"/>
      <c r="L227" s="198"/>
      <c r="M227" s="188"/>
      <c r="N227" s="198">
        <f>IFERROR(VLOOKUP(A227,'[3]0-LPM'!$A$6:$D$10668,4,0),"")</f>
        <v>5339.9147222222218</v>
      </c>
      <c r="O227" s="190"/>
      <c r="P227" s="208"/>
      <c r="Q227" s="209"/>
    </row>
    <row r="228" spans="1:17" ht="12.2" customHeight="1" x14ac:dyDescent="0.25">
      <c r="A228" s="189" t="s">
        <v>503</v>
      </c>
      <c r="B228" s="207" t="s">
        <v>490</v>
      </c>
      <c r="C228" s="190" t="s">
        <v>504</v>
      </c>
      <c r="D228" s="191">
        <v>24600</v>
      </c>
      <c r="E228" s="192">
        <v>14800</v>
      </c>
      <c r="F228" s="193">
        <f t="shared" si="12"/>
        <v>12140</v>
      </c>
      <c r="G228" s="194">
        <f t="shared" si="13"/>
        <v>12580</v>
      </c>
      <c r="H228" s="195">
        <f t="shared" si="14"/>
        <v>13320</v>
      </c>
      <c r="I228" s="192">
        <f t="shared" si="15"/>
        <v>14060</v>
      </c>
      <c r="J228" s="196"/>
      <c r="K228" s="196"/>
      <c r="L228" s="198"/>
      <c r="M228" s="188"/>
      <c r="N228" s="198">
        <f>IFERROR(VLOOKUP(A228,'[3]0-LPM'!$A$6:$D$10668,4,0),"")</f>
        <v>5133.3124222222214</v>
      </c>
      <c r="O228" s="190"/>
      <c r="P228" s="208"/>
      <c r="Q228" s="209"/>
    </row>
    <row r="229" spans="1:17" ht="12.2" customHeight="1" x14ac:dyDescent="0.25">
      <c r="A229" s="189" t="s">
        <v>505</v>
      </c>
      <c r="B229" s="207" t="s">
        <v>490</v>
      </c>
      <c r="C229" s="190" t="s">
        <v>506</v>
      </c>
      <c r="D229" s="191">
        <v>24600</v>
      </c>
      <c r="E229" s="192">
        <v>14800</v>
      </c>
      <c r="F229" s="193">
        <f t="shared" si="12"/>
        <v>12140</v>
      </c>
      <c r="G229" s="194">
        <f t="shared" si="13"/>
        <v>12580</v>
      </c>
      <c r="H229" s="195">
        <f t="shared" si="14"/>
        <v>13320</v>
      </c>
      <c r="I229" s="192">
        <f t="shared" si="15"/>
        <v>14060</v>
      </c>
      <c r="J229" s="196"/>
      <c r="K229" s="196"/>
      <c r="L229" s="198"/>
      <c r="M229" s="188"/>
      <c r="N229" s="198">
        <f>IFERROR(VLOOKUP(A229,'[3]0-LPM'!$A$6:$D$10668,4,0),"")</f>
        <v>4621.7753555555555</v>
      </c>
      <c r="O229" s="190"/>
      <c r="P229" s="208"/>
      <c r="Q229" s="209"/>
    </row>
    <row r="230" spans="1:17" ht="12.2" customHeight="1" x14ac:dyDescent="0.25">
      <c r="A230" s="189" t="s">
        <v>507</v>
      </c>
      <c r="B230" s="207" t="s">
        <v>490</v>
      </c>
      <c r="C230" s="190" t="s">
        <v>508</v>
      </c>
      <c r="D230" s="191">
        <v>29300</v>
      </c>
      <c r="E230" s="192">
        <v>17600</v>
      </c>
      <c r="F230" s="193">
        <f t="shared" si="12"/>
        <v>14430</v>
      </c>
      <c r="G230" s="194">
        <f t="shared" si="13"/>
        <v>14960</v>
      </c>
      <c r="H230" s="195">
        <f t="shared" si="14"/>
        <v>15840</v>
      </c>
      <c r="I230" s="192">
        <f t="shared" si="15"/>
        <v>16720</v>
      </c>
      <c r="J230" s="196"/>
      <c r="K230" s="196"/>
      <c r="L230" s="198"/>
      <c r="M230" s="188"/>
      <c r="N230" s="198">
        <f>IFERROR(VLOOKUP(A230,'[3]0-LPM'!$A$6:$D$10668,4,0),"")</f>
        <v>2965.2552222222221</v>
      </c>
      <c r="O230" s="190"/>
      <c r="P230" s="208"/>
      <c r="Q230" s="209"/>
    </row>
    <row r="231" spans="1:17" ht="12.2" customHeight="1" x14ac:dyDescent="0.25">
      <c r="A231" s="189" t="s">
        <v>509</v>
      </c>
      <c r="B231" s="207" t="s">
        <v>490</v>
      </c>
      <c r="C231" s="190" t="s">
        <v>510</v>
      </c>
      <c r="D231" s="191">
        <v>30000</v>
      </c>
      <c r="E231" s="192">
        <v>18000</v>
      </c>
      <c r="F231" s="193">
        <f t="shared" si="12"/>
        <v>14760</v>
      </c>
      <c r="G231" s="194">
        <f t="shared" si="13"/>
        <v>15300</v>
      </c>
      <c r="H231" s="195">
        <f t="shared" si="14"/>
        <v>16200</v>
      </c>
      <c r="I231" s="192">
        <f t="shared" si="15"/>
        <v>17100</v>
      </c>
      <c r="J231" s="196"/>
      <c r="K231" s="196"/>
      <c r="L231" s="198"/>
      <c r="M231" s="188"/>
      <c r="N231" s="198">
        <f>IFERROR(VLOOKUP(A231,'[3]0-LPM'!$A$6:$D$10668,4,0),"")</f>
        <v>4161.3829722222217</v>
      </c>
      <c r="O231" s="190"/>
      <c r="P231" s="208"/>
      <c r="Q231" s="209"/>
    </row>
    <row r="232" spans="1:17" ht="12.2" customHeight="1" x14ac:dyDescent="0.25">
      <c r="A232" s="189" t="s">
        <v>511</v>
      </c>
      <c r="B232" s="207" t="s">
        <v>490</v>
      </c>
      <c r="C232" s="190" t="s">
        <v>512</v>
      </c>
      <c r="D232" s="191">
        <v>35800</v>
      </c>
      <c r="E232" s="192">
        <v>21500</v>
      </c>
      <c r="F232" s="193">
        <f t="shared" si="12"/>
        <v>17630</v>
      </c>
      <c r="G232" s="194">
        <f t="shared" si="13"/>
        <v>18280</v>
      </c>
      <c r="H232" s="195">
        <f t="shared" si="14"/>
        <v>19350</v>
      </c>
      <c r="I232" s="192">
        <f t="shared" si="15"/>
        <v>20430</v>
      </c>
      <c r="J232" s="196"/>
      <c r="K232" s="196"/>
      <c r="L232" s="198"/>
      <c r="M232" s="188"/>
      <c r="N232" s="198">
        <f>IFERROR(VLOOKUP(A232,'[3]0-LPM'!$A$6:$D$10668,4,0),"")</f>
        <v>6780.5761304713806</v>
      </c>
      <c r="O232" s="190"/>
      <c r="P232" s="208"/>
      <c r="Q232" s="209"/>
    </row>
    <row r="233" spans="1:17" ht="12.2" customHeight="1" x14ac:dyDescent="0.25">
      <c r="A233" s="189" t="s">
        <v>513</v>
      </c>
      <c r="B233" s="207" t="s">
        <v>490</v>
      </c>
      <c r="C233" s="190" t="s">
        <v>514</v>
      </c>
      <c r="D233" s="191">
        <v>24600</v>
      </c>
      <c r="E233" s="192">
        <v>14800</v>
      </c>
      <c r="F233" s="193">
        <f t="shared" si="12"/>
        <v>12140</v>
      </c>
      <c r="G233" s="194">
        <f t="shared" si="13"/>
        <v>12580</v>
      </c>
      <c r="H233" s="195">
        <f t="shared" si="14"/>
        <v>13320</v>
      </c>
      <c r="I233" s="192">
        <f t="shared" si="15"/>
        <v>14060</v>
      </c>
      <c r="J233" s="196"/>
      <c r="K233" s="196"/>
      <c r="L233" s="198"/>
      <c r="M233" s="188"/>
      <c r="N233" s="198">
        <f>IFERROR(VLOOKUP(A233,'[3]0-LPM'!$A$6:$D$10668,4,0),"")</f>
        <v>3911.0185555555554</v>
      </c>
      <c r="O233" s="190"/>
      <c r="P233" s="208"/>
      <c r="Q233" s="209"/>
    </row>
    <row r="234" spans="1:17" ht="12.2" customHeight="1" x14ac:dyDescent="0.25">
      <c r="A234" s="189" t="s">
        <v>515</v>
      </c>
      <c r="B234" s="207" t="s">
        <v>490</v>
      </c>
      <c r="C234" s="190" t="s">
        <v>516</v>
      </c>
      <c r="D234" s="191">
        <v>35800</v>
      </c>
      <c r="E234" s="192">
        <v>21500</v>
      </c>
      <c r="F234" s="193">
        <f t="shared" si="12"/>
        <v>17630</v>
      </c>
      <c r="G234" s="194">
        <f t="shared" si="13"/>
        <v>18280</v>
      </c>
      <c r="H234" s="195">
        <f t="shared" si="14"/>
        <v>19350</v>
      </c>
      <c r="I234" s="192">
        <f t="shared" si="15"/>
        <v>20430</v>
      </c>
      <c r="J234" s="196"/>
      <c r="K234" s="196"/>
      <c r="L234" s="198"/>
      <c r="M234" s="188"/>
      <c r="N234" s="198">
        <f>IFERROR(VLOOKUP(A234,'[3]0-LPM'!$A$6:$D$10668,4,0),"")</f>
        <v>11144.840742857141</v>
      </c>
      <c r="O234" s="190"/>
      <c r="P234" s="208"/>
      <c r="Q234" s="209"/>
    </row>
    <row r="235" spans="1:17" ht="12.2" customHeight="1" x14ac:dyDescent="0.25">
      <c r="A235" s="189" t="s">
        <v>517</v>
      </c>
      <c r="B235" s="207" t="s">
        <v>490</v>
      </c>
      <c r="C235" s="190" t="s">
        <v>518</v>
      </c>
      <c r="D235" s="191">
        <v>29500</v>
      </c>
      <c r="E235" s="192">
        <v>17700</v>
      </c>
      <c r="F235" s="193">
        <f t="shared" si="12"/>
        <v>14510</v>
      </c>
      <c r="G235" s="194">
        <f t="shared" si="13"/>
        <v>15050</v>
      </c>
      <c r="H235" s="195">
        <f t="shared" si="14"/>
        <v>15930</v>
      </c>
      <c r="I235" s="192">
        <f t="shared" si="15"/>
        <v>16820</v>
      </c>
      <c r="J235" s="196"/>
      <c r="K235" s="196"/>
      <c r="L235" s="198"/>
      <c r="M235" s="188"/>
      <c r="N235" s="198">
        <f>IFERROR(VLOOKUP(A235,'[3]0-LPM'!$A$6:$D$10668,4,0),"")</f>
        <v>5130.2273333333333</v>
      </c>
      <c r="O235" s="190"/>
      <c r="P235" s="208"/>
      <c r="Q235" s="209"/>
    </row>
    <row r="236" spans="1:17" ht="12.2" customHeight="1" x14ac:dyDescent="0.25">
      <c r="A236" s="189" t="s">
        <v>519</v>
      </c>
      <c r="B236" s="207" t="s">
        <v>490</v>
      </c>
      <c r="C236" s="190" t="s">
        <v>520</v>
      </c>
      <c r="D236" s="191">
        <v>36500</v>
      </c>
      <c r="E236" s="192">
        <v>21900</v>
      </c>
      <c r="F236" s="193">
        <f t="shared" si="12"/>
        <v>17960</v>
      </c>
      <c r="G236" s="194">
        <f t="shared" si="13"/>
        <v>18620</v>
      </c>
      <c r="H236" s="195">
        <f t="shared" si="14"/>
        <v>19710</v>
      </c>
      <c r="I236" s="192">
        <f t="shared" si="15"/>
        <v>20810</v>
      </c>
      <c r="J236" s="196"/>
      <c r="K236" s="196"/>
      <c r="L236" s="198"/>
      <c r="M236" s="188"/>
      <c r="N236" s="198">
        <f>IFERROR(VLOOKUP(A236,'[3]0-LPM'!$A$6:$D$10668,4,0),"")</f>
        <v>5992.7480102040818</v>
      </c>
      <c r="O236" s="190"/>
      <c r="P236" s="208"/>
      <c r="Q236" s="209"/>
    </row>
    <row r="237" spans="1:17" ht="12.2" customHeight="1" x14ac:dyDescent="0.25">
      <c r="A237" s="189" t="s">
        <v>521</v>
      </c>
      <c r="B237" s="207" t="s">
        <v>490</v>
      </c>
      <c r="C237" s="190" t="s">
        <v>522</v>
      </c>
      <c r="D237" s="191">
        <v>41300</v>
      </c>
      <c r="E237" s="192">
        <v>24800</v>
      </c>
      <c r="F237" s="193">
        <f t="shared" si="12"/>
        <v>20340</v>
      </c>
      <c r="G237" s="194">
        <f t="shared" si="13"/>
        <v>21080</v>
      </c>
      <c r="H237" s="195">
        <f t="shared" si="14"/>
        <v>22320</v>
      </c>
      <c r="I237" s="192">
        <f t="shared" si="15"/>
        <v>23560</v>
      </c>
      <c r="J237" s="196"/>
      <c r="K237" s="196"/>
      <c r="L237" s="198"/>
      <c r="M237" s="188"/>
      <c r="N237" s="198">
        <f>IFERROR(VLOOKUP(A237,'[3]0-LPM'!$A$6:$D$10668,4,0),"")</f>
        <v>0</v>
      </c>
      <c r="O237" s="190"/>
      <c r="P237" s="208"/>
      <c r="Q237" s="209"/>
    </row>
    <row r="238" spans="1:17" ht="12.2" customHeight="1" x14ac:dyDescent="0.25">
      <c r="A238" s="189" t="s">
        <v>523</v>
      </c>
      <c r="B238" s="207" t="s">
        <v>490</v>
      </c>
      <c r="C238" s="190" t="s">
        <v>524</v>
      </c>
      <c r="D238" s="191">
        <v>36500</v>
      </c>
      <c r="E238" s="192">
        <v>21900</v>
      </c>
      <c r="F238" s="193">
        <f t="shared" si="12"/>
        <v>17960</v>
      </c>
      <c r="G238" s="194">
        <f t="shared" si="13"/>
        <v>18620</v>
      </c>
      <c r="H238" s="195">
        <f t="shared" si="14"/>
        <v>19710</v>
      </c>
      <c r="I238" s="192">
        <f t="shared" si="15"/>
        <v>20810</v>
      </c>
      <c r="J238" s="196"/>
      <c r="K238" s="196"/>
      <c r="L238" s="198"/>
      <c r="M238" s="188"/>
      <c r="N238" s="198">
        <f>IFERROR(VLOOKUP(A238,'[3]0-LPM'!$A$6:$D$10668,4,0),"")</f>
        <v>12023.93792411924</v>
      </c>
      <c r="O238" s="190"/>
      <c r="P238" s="208"/>
      <c r="Q238" s="209"/>
    </row>
    <row r="239" spans="1:17" ht="12.2" customHeight="1" x14ac:dyDescent="0.25">
      <c r="A239" s="189" t="s">
        <v>525</v>
      </c>
      <c r="B239" s="207" t="s">
        <v>490</v>
      </c>
      <c r="C239" s="190" t="s">
        <v>526</v>
      </c>
      <c r="D239" s="191">
        <v>36500</v>
      </c>
      <c r="E239" s="192">
        <v>21900</v>
      </c>
      <c r="F239" s="193">
        <f t="shared" si="12"/>
        <v>17960</v>
      </c>
      <c r="G239" s="194">
        <f t="shared" si="13"/>
        <v>18620</v>
      </c>
      <c r="H239" s="195">
        <f t="shared" si="14"/>
        <v>19710</v>
      </c>
      <c r="I239" s="192">
        <f t="shared" si="15"/>
        <v>20810</v>
      </c>
      <c r="J239" s="196"/>
      <c r="K239" s="196"/>
      <c r="L239" s="198"/>
      <c r="M239" s="188"/>
      <c r="N239" s="198">
        <f>IFERROR(VLOOKUP(A239,'[3]0-LPM'!$A$6:$D$10668,4,0),"")</f>
        <v>5612.0085238095244</v>
      </c>
      <c r="O239" s="190"/>
      <c r="P239" s="208"/>
      <c r="Q239" s="209"/>
    </row>
    <row r="240" spans="1:17" ht="12.2" customHeight="1" x14ac:dyDescent="0.25">
      <c r="A240" s="189" t="s">
        <v>527</v>
      </c>
      <c r="B240" s="207" t="s">
        <v>490</v>
      </c>
      <c r="C240" s="190" t="s">
        <v>528</v>
      </c>
      <c r="D240" s="191">
        <v>35800</v>
      </c>
      <c r="E240" s="192">
        <v>21500</v>
      </c>
      <c r="F240" s="193">
        <f t="shared" si="12"/>
        <v>17630</v>
      </c>
      <c r="G240" s="194">
        <f t="shared" si="13"/>
        <v>18280</v>
      </c>
      <c r="H240" s="195">
        <f t="shared" si="14"/>
        <v>19350</v>
      </c>
      <c r="I240" s="192">
        <f t="shared" si="15"/>
        <v>20430</v>
      </c>
      <c r="J240" s="196"/>
      <c r="K240" s="196"/>
      <c r="L240" s="198"/>
      <c r="M240" s="188"/>
      <c r="N240" s="198">
        <f>IFERROR(VLOOKUP(A240,'[3]0-LPM'!$A$6:$D$10668,4,0),"")</f>
        <v>4291.8436666666666</v>
      </c>
      <c r="O240" s="190"/>
      <c r="P240" s="208"/>
      <c r="Q240" s="209"/>
    </row>
    <row r="241" spans="1:17" ht="12.2" customHeight="1" x14ac:dyDescent="0.25">
      <c r="A241" s="189" t="s">
        <v>529</v>
      </c>
      <c r="B241" s="207" t="s">
        <v>490</v>
      </c>
      <c r="C241" s="190" t="s">
        <v>530</v>
      </c>
      <c r="D241" s="191">
        <v>35800</v>
      </c>
      <c r="E241" s="192">
        <v>21500</v>
      </c>
      <c r="F241" s="193">
        <f t="shared" si="12"/>
        <v>17630</v>
      </c>
      <c r="G241" s="194">
        <f t="shared" si="13"/>
        <v>18280</v>
      </c>
      <c r="H241" s="195">
        <f t="shared" si="14"/>
        <v>19350</v>
      </c>
      <c r="I241" s="192">
        <f t="shared" si="15"/>
        <v>20430</v>
      </c>
      <c r="J241" s="196"/>
      <c r="K241" s="196"/>
      <c r="L241" s="198"/>
      <c r="M241" s="188"/>
      <c r="N241" s="198">
        <f>IFERROR(VLOOKUP(A241,'[3]0-LPM'!$A$6:$D$10668,4,0),"")</f>
        <v>9525.1385924119259</v>
      </c>
      <c r="O241" s="190"/>
      <c r="P241" s="208"/>
      <c r="Q241" s="209"/>
    </row>
    <row r="242" spans="1:17" ht="12.2" customHeight="1" x14ac:dyDescent="0.25">
      <c r="A242" s="189" t="s">
        <v>531</v>
      </c>
      <c r="B242" s="207" t="s">
        <v>490</v>
      </c>
      <c r="C242" s="190" t="s">
        <v>532</v>
      </c>
      <c r="D242" s="191">
        <v>35800</v>
      </c>
      <c r="E242" s="192">
        <v>21500</v>
      </c>
      <c r="F242" s="193">
        <f t="shared" si="12"/>
        <v>17630</v>
      </c>
      <c r="G242" s="194">
        <f t="shared" si="13"/>
        <v>18280</v>
      </c>
      <c r="H242" s="195">
        <f t="shared" si="14"/>
        <v>19350</v>
      </c>
      <c r="I242" s="192">
        <f t="shared" si="15"/>
        <v>20430</v>
      </c>
      <c r="J242" s="196"/>
      <c r="K242" s="196"/>
      <c r="L242" s="198"/>
      <c r="M242" s="188"/>
      <c r="N242" s="198">
        <f>IFERROR(VLOOKUP(A242,'[3]0-LPM'!$A$6:$D$10668,4,0),"")</f>
        <v>7538.0877777777787</v>
      </c>
      <c r="O242" s="190"/>
      <c r="P242" s="208"/>
      <c r="Q242" s="209"/>
    </row>
    <row r="243" spans="1:17" ht="12.2" customHeight="1" x14ac:dyDescent="0.25">
      <c r="A243" s="189" t="s">
        <v>533</v>
      </c>
      <c r="B243" s="207" t="s">
        <v>490</v>
      </c>
      <c r="C243" s="190" t="s">
        <v>534</v>
      </c>
      <c r="D243" s="191">
        <v>35800</v>
      </c>
      <c r="E243" s="192">
        <v>21500</v>
      </c>
      <c r="F243" s="193">
        <f t="shared" si="12"/>
        <v>17630</v>
      </c>
      <c r="G243" s="194">
        <f t="shared" si="13"/>
        <v>18280</v>
      </c>
      <c r="H243" s="195">
        <f t="shared" si="14"/>
        <v>19350</v>
      </c>
      <c r="I243" s="192">
        <f t="shared" si="15"/>
        <v>20430</v>
      </c>
      <c r="J243" s="196"/>
      <c r="K243" s="196"/>
      <c r="L243" s="198"/>
      <c r="M243" s="188"/>
      <c r="N243" s="198">
        <f>IFERROR(VLOOKUP(A243,'[3]0-LPM'!$A$6:$D$10668,4,0),"")</f>
        <v>9431.9445000000014</v>
      </c>
      <c r="O243" s="190"/>
      <c r="P243" s="208"/>
      <c r="Q243" s="209"/>
    </row>
    <row r="244" spans="1:17" ht="12.2" customHeight="1" x14ac:dyDescent="0.25">
      <c r="A244" s="189" t="s">
        <v>535</v>
      </c>
      <c r="B244" s="207" t="s">
        <v>490</v>
      </c>
      <c r="C244" s="190" t="s">
        <v>536</v>
      </c>
      <c r="D244" s="191">
        <v>29300</v>
      </c>
      <c r="E244" s="192">
        <v>17600</v>
      </c>
      <c r="F244" s="193">
        <f t="shared" si="12"/>
        <v>14430</v>
      </c>
      <c r="G244" s="194">
        <f t="shared" si="13"/>
        <v>14960</v>
      </c>
      <c r="H244" s="195">
        <f t="shared" si="14"/>
        <v>15840</v>
      </c>
      <c r="I244" s="192">
        <f t="shared" si="15"/>
        <v>16720</v>
      </c>
      <c r="J244" s="196"/>
      <c r="K244" s="196"/>
      <c r="L244" s="198"/>
      <c r="M244" s="188"/>
      <c r="N244" s="198">
        <f>IFERROR(VLOOKUP(A244,'[3]0-LPM'!$A$6:$D$10668,4,0),"")</f>
        <v>3153.1264888888886</v>
      </c>
      <c r="O244" s="190"/>
      <c r="P244" s="208"/>
      <c r="Q244" s="209"/>
    </row>
    <row r="245" spans="1:17" ht="12.2" customHeight="1" x14ac:dyDescent="0.25">
      <c r="A245" s="189" t="s">
        <v>537</v>
      </c>
      <c r="B245" s="207" t="s">
        <v>490</v>
      </c>
      <c r="C245" s="190" t="s">
        <v>538</v>
      </c>
      <c r="D245" s="191">
        <v>16200</v>
      </c>
      <c r="E245" s="192">
        <v>9700</v>
      </c>
      <c r="F245" s="193">
        <f t="shared" si="12"/>
        <v>7950</v>
      </c>
      <c r="G245" s="194">
        <f t="shared" si="13"/>
        <v>8250</v>
      </c>
      <c r="H245" s="195">
        <f t="shared" si="14"/>
        <v>8730</v>
      </c>
      <c r="I245" s="192">
        <f t="shared" si="15"/>
        <v>9220</v>
      </c>
      <c r="J245" s="196"/>
      <c r="K245" s="196"/>
      <c r="L245" s="198"/>
      <c r="M245" s="188"/>
      <c r="N245" s="198">
        <f>IFERROR(VLOOKUP(A245,'[3]0-LPM'!$A$6:$D$10668,4,0),"")</f>
        <v>1731.7861524691357</v>
      </c>
      <c r="O245" s="190"/>
      <c r="P245" s="208"/>
      <c r="Q245" s="209"/>
    </row>
    <row r="246" spans="1:17" ht="12.2" customHeight="1" x14ac:dyDescent="0.25">
      <c r="A246" s="189" t="s">
        <v>539</v>
      </c>
      <c r="B246" s="207" t="s">
        <v>490</v>
      </c>
      <c r="C246" s="190" t="s">
        <v>540</v>
      </c>
      <c r="D246" s="191">
        <v>35800</v>
      </c>
      <c r="E246" s="192">
        <v>21500</v>
      </c>
      <c r="F246" s="193">
        <f t="shared" si="12"/>
        <v>17630</v>
      </c>
      <c r="G246" s="194">
        <f t="shared" si="13"/>
        <v>18280</v>
      </c>
      <c r="H246" s="195">
        <f t="shared" si="14"/>
        <v>19350</v>
      </c>
      <c r="I246" s="192">
        <f t="shared" si="15"/>
        <v>20430</v>
      </c>
      <c r="J246" s="196"/>
      <c r="K246" s="196"/>
      <c r="L246" s="198"/>
      <c r="M246" s="188"/>
      <c r="N246" s="198">
        <f>IFERROR(VLOOKUP(A246,'[3]0-LPM'!$A$6:$D$10668,4,0),"")</f>
        <v>7125.5427971380468</v>
      </c>
      <c r="O246" s="190"/>
      <c r="P246" s="208"/>
      <c r="Q246" s="209"/>
    </row>
    <row r="247" spans="1:17" ht="12.2" customHeight="1" x14ac:dyDescent="0.25">
      <c r="A247" s="189" t="s">
        <v>541</v>
      </c>
      <c r="B247" s="207" t="s">
        <v>490</v>
      </c>
      <c r="C247" s="190" t="s">
        <v>542</v>
      </c>
      <c r="D247" s="191">
        <v>35800</v>
      </c>
      <c r="E247" s="192">
        <v>21500</v>
      </c>
      <c r="F247" s="193">
        <f t="shared" si="12"/>
        <v>17630</v>
      </c>
      <c r="G247" s="194">
        <f t="shared" si="13"/>
        <v>18280</v>
      </c>
      <c r="H247" s="195">
        <f t="shared" si="14"/>
        <v>19350</v>
      </c>
      <c r="I247" s="192">
        <f t="shared" si="15"/>
        <v>20430</v>
      </c>
      <c r="J247" s="196"/>
      <c r="K247" s="196"/>
      <c r="L247" s="198"/>
      <c r="M247" s="188"/>
      <c r="N247" s="198">
        <f>IFERROR(VLOOKUP(A247,'[3]0-LPM'!$A$6:$D$10668,4,0),"")</f>
        <v>7180.5761304713806</v>
      </c>
      <c r="O247" s="190"/>
      <c r="P247" s="208"/>
      <c r="Q247" s="209"/>
    </row>
    <row r="248" spans="1:17" ht="12.2" customHeight="1" x14ac:dyDescent="0.25">
      <c r="A248" s="189" t="s">
        <v>543</v>
      </c>
      <c r="B248" s="207" t="s">
        <v>490</v>
      </c>
      <c r="C248" s="190" t="s">
        <v>544</v>
      </c>
      <c r="D248" s="191">
        <v>35800</v>
      </c>
      <c r="E248" s="192">
        <v>21500</v>
      </c>
      <c r="F248" s="193">
        <f t="shared" si="12"/>
        <v>17630</v>
      </c>
      <c r="G248" s="194">
        <f t="shared" si="13"/>
        <v>18280</v>
      </c>
      <c r="H248" s="195">
        <f t="shared" si="14"/>
        <v>19350</v>
      </c>
      <c r="I248" s="192">
        <f t="shared" si="15"/>
        <v>20430</v>
      </c>
      <c r="J248" s="196"/>
      <c r="K248" s="196"/>
      <c r="L248" s="198"/>
      <c r="M248" s="188"/>
      <c r="N248" s="198">
        <f>IFERROR(VLOOKUP(A248,'[3]0-LPM'!$A$6:$D$10668,4,0),"")</f>
        <v>7125.5427971380468</v>
      </c>
      <c r="O248" s="190"/>
      <c r="P248" s="208"/>
      <c r="Q248" s="209"/>
    </row>
    <row r="249" spans="1:17" ht="12.2" customHeight="1" x14ac:dyDescent="0.25">
      <c r="A249" s="189" t="s">
        <v>545</v>
      </c>
      <c r="B249" s="207" t="s">
        <v>490</v>
      </c>
      <c r="C249" s="190" t="s">
        <v>546</v>
      </c>
      <c r="D249" s="191">
        <v>35800</v>
      </c>
      <c r="E249" s="192">
        <v>21500</v>
      </c>
      <c r="F249" s="193">
        <f t="shared" si="12"/>
        <v>17630</v>
      </c>
      <c r="G249" s="194">
        <f t="shared" si="13"/>
        <v>18280</v>
      </c>
      <c r="H249" s="195">
        <f t="shared" si="14"/>
        <v>19350</v>
      </c>
      <c r="I249" s="192">
        <f t="shared" si="15"/>
        <v>20430</v>
      </c>
      <c r="J249" s="196"/>
      <c r="K249" s="196"/>
      <c r="L249" s="198"/>
      <c r="M249" s="188"/>
      <c r="N249" s="198">
        <f>IFERROR(VLOOKUP(A249,'[3]0-LPM'!$A$6:$D$10668,4,0),"")</f>
        <v>12993.798874551971</v>
      </c>
      <c r="O249" s="190"/>
      <c r="P249" s="208"/>
      <c r="Q249" s="209"/>
    </row>
    <row r="250" spans="1:17" ht="12.2" customHeight="1" x14ac:dyDescent="0.25">
      <c r="A250" s="189" t="s">
        <v>547</v>
      </c>
      <c r="B250" s="207" t="s">
        <v>490</v>
      </c>
      <c r="C250" s="190" t="s">
        <v>548</v>
      </c>
      <c r="D250" s="191">
        <v>26100</v>
      </c>
      <c r="E250" s="192">
        <v>15600</v>
      </c>
      <c r="F250" s="193">
        <f t="shared" si="12"/>
        <v>12790</v>
      </c>
      <c r="G250" s="194">
        <f t="shared" si="13"/>
        <v>13260</v>
      </c>
      <c r="H250" s="195">
        <f t="shared" si="14"/>
        <v>14040</v>
      </c>
      <c r="I250" s="192">
        <f t="shared" si="15"/>
        <v>14820</v>
      </c>
      <c r="J250" s="196"/>
      <c r="K250" s="196"/>
      <c r="L250" s="198"/>
      <c r="M250" s="188"/>
      <c r="N250" s="198">
        <f>IFERROR(VLOOKUP(A250,'[3]0-LPM'!$A$6:$D$10668,4,0),"")</f>
        <v>6100.7731222222219</v>
      </c>
      <c r="O250" s="190"/>
      <c r="P250" s="208"/>
      <c r="Q250" s="209"/>
    </row>
    <row r="251" spans="1:17" ht="12.2" customHeight="1" x14ac:dyDescent="0.25">
      <c r="A251" s="189" t="s">
        <v>549</v>
      </c>
      <c r="B251" s="207" t="s">
        <v>490</v>
      </c>
      <c r="C251" s="190" t="s">
        <v>550</v>
      </c>
      <c r="D251" s="191">
        <v>35800</v>
      </c>
      <c r="E251" s="192">
        <v>21500</v>
      </c>
      <c r="F251" s="193">
        <f t="shared" si="12"/>
        <v>17630</v>
      </c>
      <c r="G251" s="194">
        <f t="shared" si="13"/>
        <v>18280</v>
      </c>
      <c r="H251" s="195">
        <f t="shared" si="14"/>
        <v>19350</v>
      </c>
      <c r="I251" s="192">
        <f t="shared" si="15"/>
        <v>20430</v>
      </c>
      <c r="J251" s="196"/>
      <c r="K251" s="196"/>
      <c r="L251" s="198"/>
      <c r="M251" s="188"/>
      <c r="N251" s="198" t="str">
        <f>IFERROR(VLOOKUP(A251,'[3]0-LPM'!$A$6:$D$10668,4,0),"")</f>
        <v/>
      </c>
      <c r="O251" s="190"/>
      <c r="P251" s="208"/>
      <c r="Q251" s="209"/>
    </row>
    <row r="252" spans="1:17" ht="12.2" customHeight="1" x14ac:dyDescent="0.25">
      <c r="A252" s="189" t="s">
        <v>551</v>
      </c>
      <c r="B252" s="207" t="s">
        <v>490</v>
      </c>
      <c r="C252" s="190" t="s">
        <v>552</v>
      </c>
      <c r="D252" s="191">
        <v>35800</v>
      </c>
      <c r="E252" s="192">
        <v>21500</v>
      </c>
      <c r="F252" s="193">
        <f t="shared" si="12"/>
        <v>17630</v>
      </c>
      <c r="G252" s="194">
        <f t="shared" si="13"/>
        <v>18280</v>
      </c>
      <c r="H252" s="195">
        <f t="shared" si="14"/>
        <v>19350</v>
      </c>
      <c r="I252" s="192">
        <f t="shared" si="15"/>
        <v>20430</v>
      </c>
      <c r="J252" s="196"/>
      <c r="K252" s="196"/>
      <c r="L252" s="198"/>
      <c r="M252" s="188"/>
      <c r="N252" s="198" t="str">
        <f>IFERROR(VLOOKUP(A252,'[3]0-LPM'!$A$6:$D$10668,4,0),"")</f>
        <v/>
      </c>
      <c r="O252" s="190"/>
      <c r="P252" s="208"/>
      <c r="Q252" s="209"/>
    </row>
    <row r="253" spans="1:17" ht="12.2" customHeight="1" x14ac:dyDescent="0.25">
      <c r="A253" s="189" t="s">
        <v>553</v>
      </c>
      <c r="B253" s="207" t="s">
        <v>490</v>
      </c>
      <c r="C253" s="190" t="s">
        <v>554</v>
      </c>
      <c r="D253" s="191">
        <v>44600</v>
      </c>
      <c r="E253" s="192">
        <v>26700</v>
      </c>
      <c r="F253" s="193">
        <f t="shared" si="12"/>
        <v>21890</v>
      </c>
      <c r="G253" s="194">
        <f t="shared" si="13"/>
        <v>22700</v>
      </c>
      <c r="H253" s="195">
        <f t="shared" si="14"/>
        <v>24030</v>
      </c>
      <c r="I253" s="192">
        <f t="shared" si="15"/>
        <v>25370</v>
      </c>
      <c r="J253" s="196"/>
      <c r="K253" s="196"/>
      <c r="L253" s="198"/>
      <c r="M253" s="188"/>
      <c r="N253" s="198" t="str">
        <f>IFERROR(VLOOKUP(A253,'[3]0-LPM'!$A$6:$D$10668,4,0),"")</f>
        <v/>
      </c>
      <c r="O253" s="190"/>
      <c r="P253" s="208"/>
      <c r="Q253" s="209"/>
    </row>
    <row r="254" spans="1:17" ht="12.2" customHeight="1" x14ac:dyDescent="0.25">
      <c r="A254" s="189" t="s">
        <v>555</v>
      </c>
      <c r="B254" s="207" t="s">
        <v>490</v>
      </c>
      <c r="C254" s="200" t="s">
        <v>556</v>
      </c>
      <c r="D254" s="191">
        <v>28600</v>
      </c>
      <c r="E254" s="192">
        <v>17200</v>
      </c>
      <c r="F254" s="193">
        <f t="shared" si="12"/>
        <v>14100</v>
      </c>
      <c r="G254" s="194">
        <f t="shared" si="13"/>
        <v>14620</v>
      </c>
      <c r="H254" s="195">
        <f t="shared" si="14"/>
        <v>15480</v>
      </c>
      <c r="I254" s="192">
        <f t="shared" si="15"/>
        <v>16340</v>
      </c>
      <c r="J254" s="196"/>
      <c r="K254" s="196"/>
      <c r="L254" s="198"/>
      <c r="M254" s="188"/>
      <c r="N254" s="198" t="str">
        <f>IFERROR(VLOOKUP(A254,'[3]0-LPM'!$A$6:$D$10668,4,0),"")</f>
        <v/>
      </c>
      <c r="O254" s="200"/>
      <c r="P254" s="208"/>
      <c r="Q254" s="209"/>
    </row>
    <row r="255" spans="1:17" ht="12.2" customHeight="1" x14ac:dyDescent="0.25">
      <c r="A255" s="189" t="s">
        <v>557</v>
      </c>
      <c r="B255" s="207" t="s">
        <v>490</v>
      </c>
      <c r="C255" s="200" t="s">
        <v>558</v>
      </c>
      <c r="D255" s="191">
        <v>55700</v>
      </c>
      <c r="E255" s="192">
        <v>33400</v>
      </c>
      <c r="F255" s="193">
        <f t="shared" si="12"/>
        <v>27390</v>
      </c>
      <c r="G255" s="194">
        <f t="shared" si="13"/>
        <v>28390</v>
      </c>
      <c r="H255" s="195">
        <f t="shared" si="14"/>
        <v>30060</v>
      </c>
      <c r="I255" s="192">
        <f t="shared" si="15"/>
        <v>31730</v>
      </c>
      <c r="J255" s="196"/>
      <c r="K255" s="196"/>
      <c r="L255" s="198"/>
      <c r="M255" s="188"/>
      <c r="N255" s="198" t="str">
        <f>IFERROR(VLOOKUP(A255,'[3]0-LPM'!$A$6:$D$10668,4,0),"")</f>
        <v/>
      </c>
      <c r="O255" s="200"/>
      <c r="P255" s="208"/>
      <c r="Q255" s="209"/>
    </row>
    <row r="256" spans="1:17" ht="12.2" customHeight="1" x14ac:dyDescent="0.25">
      <c r="A256" s="189" t="s">
        <v>559</v>
      </c>
      <c r="B256" s="207" t="s">
        <v>490</v>
      </c>
      <c r="C256" s="200" t="s">
        <v>560</v>
      </c>
      <c r="D256" s="191">
        <v>31500</v>
      </c>
      <c r="E256" s="192">
        <v>18900</v>
      </c>
      <c r="F256" s="193">
        <f t="shared" si="12"/>
        <v>15500</v>
      </c>
      <c r="G256" s="194">
        <f t="shared" si="13"/>
        <v>16070</v>
      </c>
      <c r="H256" s="195">
        <f t="shared" si="14"/>
        <v>17010</v>
      </c>
      <c r="I256" s="192">
        <f t="shared" si="15"/>
        <v>17960</v>
      </c>
      <c r="J256" s="196"/>
      <c r="K256" s="196"/>
      <c r="L256" s="198"/>
      <c r="M256" s="188"/>
      <c r="N256" s="198" t="str">
        <f>IFERROR(VLOOKUP(A256,'[3]0-LPM'!$A$6:$D$10668,4,0),"")</f>
        <v/>
      </c>
      <c r="O256" s="200"/>
      <c r="P256" s="208"/>
      <c r="Q256" s="209"/>
    </row>
    <row r="257" spans="1:17" ht="12.2" customHeight="1" x14ac:dyDescent="0.25">
      <c r="A257" s="189" t="s">
        <v>561</v>
      </c>
      <c r="B257" s="207" t="s">
        <v>490</v>
      </c>
      <c r="C257" s="200" t="s">
        <v>562</v>
      </c>
      <c r="D257" s="191">
        <v>30400</v>
      </c>
      <c r="E257" s="192">
        <v>18200</v>
      </c>
      <c r="F257" s="193">
        <f t="shared" si="12"/>
        <v>14920</v>
      </c>
      <c r="G257" s="194">
        <f t="shared" si="13"/>
        <v>15470</v>
      </c>
      <c r="H257" s="195">
        <f t="shared" si="14"/>
        <v>16380</v>
      </c>
      <c r="I257" s="192">
        <f t="shared" si="15"/>
        <v>17290</v>
      </c>
      <c r="J257" s="196"/>
      <c r="K257" s="196"/>
      <c r="L257" s="198"/>
      <c r="M257" s="188"/>
      <c r="N257" s="198" t="str">
        <f>IFERROR(VLOOKUP(A257,'[3]0-LPM'!$A$6:$D$10668,4,0),"")</f>
        <v/>
      </c>
      <c r="O257" s="200"/>
      <c r="P257" s="208"/>
      <c r="Q257" s="209"/>
    </row>
    <row r="258" spans="1:17" ht="12.2" customHeight="1" x14ac:dyDescent="0.25">
      <c r="A258" s="189" t="s">
        <v>563</v>
      </c>
      <c r="B258" s="207" t="s">
        <v>490</v>
      </c>
      <c r="C258" s="200" t="s">
        <v>564</v>
      </c>
      <c r="D258" s="191">
        <v>40700</v>
      </c>
      <c r="E258" s="192">
        <v>24400</v>
      </c>
      <c r="F258" s="193">
        <f t="shared" si="12"/>
        <v>20010</v>
      </c>
      <c r="G258" s="194">
        <f t="shared" si="13"/>
        <v>20740</v>
      </c>
      <c r="H258" s="195">
        <f t="shared" si="14"/>
        <v>21960</v>
      </c>
      <c r="I258" s="192">
        <f t="shared" si="15"/>
        <v>23180</v>
      </c>
      <c r="J258" s="196"/>
      <c r="K258" s="196"/>
      <c r="L258" s="198"/>
      <c r="M258" s="188"/>
      <c r="N258" s="198" t="str">
        <f>IFERROR(VLOOKUP(A258,'[3]0-LPM'!$A$6:$D$10668,4,0),"")</f>
        <v/>
      </c>
      <c r="O258" s="200"/>
      <c r="P258" s="208"/>
      <c r="Q258" s="209"/>
    </row>
    <row r="259" spans="1:17" ht="12.2" customHeight="1" x14ac:dyDescent="0.25">
      <c r="A259" s="189" t="s">
        <v>565</v>
      </c>
      <c r="B259" s="207" t="s">
        <v>490</v>
      </c>
      <c r="C259" s="200" t="s">
        <v>566</v>
      </c>
      <c r="D259" s="191">
        <v>24900</v>
      </c>
      <c r="E259" s="192">
        <v>14900</v>
      </c>
      <c r="F259" s="193">
        <f t="shared" si="12"/>
        <v>12220</v>
      </c>
      <c r="G259" s="194">
        <f t="shared" si="13"/>
        <v>12670</v>
      </c>
      <c r="H259" s="195">
        <f t="shared" si="14"/>
        <v>13410</v>
      </c>
      <c r="I259" s="192">
        <f t="shared" si="15"/>
        <v>14160</v>
      </c>
      <c r="J259" s="196"/>
      <c r="K259" s="196"/>
      <c r="L259" s="198"/>
      <c r="M259" s="188"/>
      <c r="N259" s="198" t="str">
        <f>IFERROR(VLOOKUP(A259,'[3]0-LPM'!$A$6:$D$10668,4,0),"")</f>
        <v/>
      </c>
      <c r="O259" s="200"/>
      <c r="P259" s="208"/>
      <c r="Q259" s="209"/>
    </row>
    <row r="260" spans="1:17" ht="12.2" customHeight="1" x14ac:dyDescent="0.25">
      <c r="A260" s="189" t="s">
        <v>567</v>
      </c>
      <c r="B260" s="207" t="s">
        <v>490</v>
      </c>
      <c r="C260" s="200" t="s">
        <v>568</v>
      </c>
      <c r="D260" s="191">
        <v>28600</v>
      </c>
      <c r="E260" s="192">
        <v>17200</v>
      </c>
      <c r="F260" s="193">
        <f t="shared" si="12"/>
        <v>14100</v>
      </c>
      <c r="G260" s="194">
        <f t="shared" si="13"/>
        <v>14620</v>
      </c>
      <c r="H260" s="195">
        <f t="shared" si="14"/>
        <v>15480</v>
      </c>
      <c r="I260" s="192">
        <f t="shared" si="15"/>
        <v>16340</v>
      </c>
      <c r="J260" s="196"/>
      <c r="K260" s="196"/>
      <c r="L260" s="198"/>
      <c r="M260" s="188"/>
      <c r="N260" s="198" t="str">
        <f>IFERROR(VLOOKUP(A260,'[3]0-LPM'!$A$6:$D$10668,4,0),"")</f>
        <v/>
      </c>
      <c r="O260" s="200"/>
      <c r="P260" s="208"/>
      <c r="Q260" s="209"/>
    </row>
    <row r="261" spans="1:17" ht="12.2" customHeight="1" x14ac:dyDescent="0.25">
      <c r="A261" s="189" t="s">
        <v>569</v>
      </c>
      <c r="B261" s="207" t="s">
        <v>490</v>
      </c>
      <c r="C261" s="200" t="s">
        <v>570</v>
      </c>
      <c r="D261" s="191">
        <v>35800</v>
      </c>
      <c r="E261" s="192">
        <v>21500</v>
      </c>
      <c r="F261" s="193">
        <f t="shared" si="12"/>
        <v>17630</v>
      </c>
      <c r="G261" s="194">
        <f t="shared" si="13"/>
        <v>18280</v>
      </c>
      <c r="H261" s="195">
        <f t="shared" si="14"/>
        <v>19350</v>
      </c>
      <c r="I261" s="192">
        <f t="shared" si="15"/>
        <v>20430</v>
      </c>
      <c r="J261" s="196"/>
      <c r="K261" s="196"/>
      <c r="L261" s="198"/>
      <c r="M261" s="188"/>
      <c r="N261" s="198" t="str">
        <f>IFERROR(VLOOKUP(A261,'[3]0-LPM'!$A$6:$D$10668,4,0),"")</f>
        <v/>
      </c>
      <c r="O261" s="200"/>
      <c r="P261" s="208"/>
      <c r="Q261" s="209"/>
    </row>
    <row r="262" spans="1:17" ht="12.2" customHeight="1" x14ac:dyDescent="0.25">
      <c r="A262" s="189" t="s">
        <v>571</v>
      </c>
      <c r="B262" s="207" t="s">
        <v>490</v>
      </c>
      <c r="C262" s="200" t="s">
        <v>572</v>
      </c>
      <c r="D262" s="191">
        <v>35800</v>
      </c>
      <c r="E262" s="192">
        <v>21500</v>
      </c>
      <c r="F262" s="193">
        <f t="shared" si="12"/>
        <v>17630</v>
      </c>
      <c r="G262" s="194">
        <f t="shared" si="13"/>
        <v>18280</v>
      </c>
      <c r="H262" s="195">
        <f t="shared" si="14"/>
        <v>19350</v>
      </c>
      <c r="I262" s="192">
        <f t="shared" si="15"/>
        <v>20430</v>
      </c>
      <c r="J262" s="196"/>
      <c r="K262" s="196"/>
      <c r="L262" s="198"/>
      <c r="M262" s="188"/>
      <c r="N262" s="198" t="str">
        <f>IFERROR(VLOOKUP(A262,'[3]0-LPM'!$A$6:$D$10668,4,0),"")</f>
        <v/>
      </c>
      <c r="O262" s="200"/>
      <c r="P262" s="208"/>
      <c r="Q262" s="209"/>
    </row>
    <row r="263" spans="1:17" ht="12.2" customHeight="1" x14ac:dyDescent="0.25">
      <c r="A263" s="189" t="s">
        <v>573</v>
      </c>
      <c r="B263" s="207" t="s">
        <v>490</v>
      </c>
      <c r="C263" s="200" t="s">
        <v>574</v>
      </c>
      <c r="D263" s="191"/>
      <c r="E263" s="192">
        <v>24200</v>
      </c>
      <c r="F263" s="193">
        <f t="shared" si="12"/>
        <v>19840</v>
      </c>
      <c r="G263" s="194">
        <f t="shared" si="13"/>
        <v>20570</v>
      </c>
      <c r="H263" s="195">
        <f t="shared" si="14"/>
        <v>21780</v>
      </c>
      <c r="I263" s="192">
        <f t="shared" si="15"/>
        <v>22990</v>
      </c>
      <c r="J263" s="196"/>
      <c r="K263" s="196"/>
      <c r="L263" s="198"/>
      <c r="M263" s="188"/>
      <c r="N263" s="198"/>
      <c r="O263" s="200"/>
      <c r="P263" s="208"/>
      <c r="Q263" s="209"/>
    </row>
    <row r="264" spans="1:17" ht="12.2" customHeight="1" x14ac:dyDescent="0.25">
      <c r="A264" s="189" t="s">
        <v>575</v>
      </c>
      <c r="B264" s="207" t="s">
        <v>490</v>
      </c>
      <c r="C264" s="200" t="s">
        <v>576</v>
      </c>
      <c r="D264" s="191"/>
      <c r="E264" s="192">
        <v>24200</v>
      </c>
      <c r="F264" s="193">
        <f t="shared" si="12"/>
        <v>19840</v>
      </c>
      <c r="G264" s="194">
        <f t="shared" si="13"/>
        <v>20570</v>
      </c>
      <c r="H264" s="195">
        <f t="shared" si="14"/>
        <v>21780</v>
      </c>
      <c r="I264" s="192">
        <f t="shared" si="15"/>
        <v>22990</v>
      </c>
      <c r="J264" s="196"/>
      <c r="K264" s="196"/>
      <c r="L264" s="198"/>
      <c r="M264" s="188"/>
      <c r="N264" s="198"/>
      <c r="O264" s="200"/>
      <c r="P264" s="208"/>
      <c r="Q264" s="209"/>
    </row>
    <row r="265" spans="1:17" ht="12.2" customHeight="1" x14ac:dyDescent="0.25">
      <c r="A265" s="189" t="s">
        <v>577</v>
      </c>
      <c r="B265" s="207" t="s">
        <v>490</v>
      </c>
      <c r="C265" s="200" t="s">
        <v>578</v>
      </c>
      <c r="D265" s="191"/>
      <c r="E265" s="192">
        <v>24200</v>
      </c>
      <c r="F265" s="193">
        <f t="shared" si="12"/>
        <v>19840</v>
      </c>
      <c r="G265" s="194">
        <f t="shared" si="13"/>
        <v>20570</v>
      </c>
      <c r="H265" s="195">
        <f t="shared" si="14"/>
        <v>21780</v>
      </c>
      <c r="I265" s="192">
        <f t="shared" si="15"/>
        <v>22990</v>
      </c>
      <c r="J265" s="196"/>
      <c r="K265" s="196"/>
      <c r="L265" s="198"/>
      <c r="M265" s="188"/>
      <c r="N265" s="198"/>
      <c r="O265" s="200"/>
      <c r="P265" s="208"/>
      <c r="Q265" s="209"/>
    </row>
    <row r="266" spans="1:17" ht="12.2" customHeight="1" x14ac:dyDescent="0.25">
      <c r="A266" s="204"/>
      <c r="B266" s="205"/>
      <c r="C266" s="206" t="str">
        <f>+B267</f>
        <v>PORCIONES</v>
      </c>
      <c r="D266" s="191">
        <v>0</v>
      </c>
      <c r="E266" s="192">
        <v>0</v>
      </c>
      <c r="F266" s="193">
        <f t="shared" si="12"/>
        <v>0</v>
      </c>
      <c r="G266" s="194">
        <f t="shared" si="13"/>
        <v>0</v>
      </c>
      <c r="H266" s="195">
        <f t="shared" si="14"/>
        <v>0</v>
      </c>
      <c r="I266" s="192">
        <f t="shared" si="15"/>
        <v>0</v>
      </c>
      <c r="J266" s="196"/>
      <c r="K266" s="196"/>
      <c r="L266" s="198"/>
      <c r="M266" s="188"/>
      <c r="N266" s="198" t="str">
        <f>IFERROR(VLOOKUP(A266,'[3]0-LPM'!$A$6:$D$10668,4,0),"")</f>
        <v/>
      </c>
      <c r="O266" s="206"/>
      <c r="P266" s="208"/>
      <c r="Q266" s="209"/>
    </row>
    <row r="267" spans="1:17" ht="12.2" customHeight="1" x14ac:dyDescent="0.25">
      <c r="A267" s="189" t="s">
        <v>579</v>
      </c>
      <c r="B267" s="207" t="s">
        <v>580</v>
      </c>
      <c r="C267" s="190" t="s">
        <v>581</v>
      </c>
      <c r="D267" s="191">
        <v>5100</v>
      </c>
      <c r="E267" s="192">
        <v>3000</v>
      </c>
      <c r="F267" s="193">
        <f t="shared" si="12"/>
        <v>2460</v>
      </c>
      <c r="G267" s="194">
        <f t="shared" si="13"/>
        <v>2550</v>
      </c>
      <c r="H267" s="195">
        <f t="shared" si="14"/>
        <v>2700</v>
      </c>
      <c r="I267" s="192">
        <f t="shared" si="15"/>
        <v>2850</v>
      </c>
      <c r="J267" s="196"/>
      <c r="K267" s="196"/>
      <c r="L267" s="198"/>
      <c r="M267" s="188"/>
      <c r="N267" s="198">
        <f>IFERROR(VLOOKUP(A267,'[3]0-LPM'!$A$6:$D$10668,4,0),"")</f>
        <v>0</v>
      </c>
      <c r="O267" s="190"/>
      <c r="P267" s="208"/>
      <c r="Q267" s="209"/>
    </row>
    <row r="268" spans="1:17" ht="12.2" customHeight="1" x14ac:dyDescent="0.25">
      <c r="A268" s="189" t="s">
        <v>582</v>
      </c>
      <c r="B268" s="207" t="s">
        <v>580</v>
      </c>
      <c r="C268" s="190" t="s">
        <v>583</v>
      </c>
      <c r="D268" s="191">
        <v>5600</v>
      </c>
      <c r="E268" s="192">
        <v>3400</v>
      </c>
      <c r="F268" s="193">
        <f t="shared" si="12"/>
        <v>2790</v>
      </c>
      <c r="G268" s="194">
        <f t="shared" si="13"/>
        <v>2890</v>
      </c>
      <c r="H268" s="195">
        <f t="shared" si="14"/>
        <v>3060</v>
      </c>
      <c r="I268" s="192">
        <f t="shared" si="15"/>
        <v>3230</v>
      </c>
      <c r="J268" s="196"/>
      <c r="K268" s="196"/>
      <c r="L268" s="198"/>
      <c r="M268" s="188"/>
      <c r="N268" s="198">
        <f>IFERROR(VLOOKUP(A268,'[3]0-LPM'!$A$6:$D$10668,4,0),"")</f>
        <v>846.83954761904772</v>
      </c>
      <c r="O268" s="190"/>
      <c r="P268" s="208"/>
      <c r="Q268" s="209"/>
    </row>
    <row r="269" spans="1:17" ht="12.2" customHeight="1" x14ac:dyDescent="0.25">
      <c r="A269" s="189" t="s">
        <v>584</v>
      </c>
      <c r="B269" s="207" t="s">
        <v>580</v>
      </c>
      <c r="C269" s="190" t="s">
        <v>585</v>
      </c>
      <c r="D269" s="191">
        <v>7700</v>
      </c>
      <c r="E269" s="192">
        <v>4600</v>
      </c>
      <c r="F269" s="193">
        <f t="shared" si="12"/>
        <v>3770</v>
      </c>
      <c r="G269" s="194">
        <f t="shared" si="13"/>
        <v>3910</v>
      </c>
      <c r="H269" s="195">
        <f t="shared" si="14"/>
        <v>4140</v>
      </c>
      <c r="I269" s="192">
        <f t="shared" si="15"/>
        <v>4370</v>
      </c>
      <c r="J269" s="196"/>
      <c r="K269" s="196"/>
      <c r="L269" s="198"/>
      <c r="M269" s="188"/>
      <c r="N269" s="198">
        <f>IFERROR(VLOOKUP(A269,'[3]0-LPM'!$A$6:$D$10668,4,0),"")</f>
        <v>1431.4095515873016</v>
      </c>
      <c r="O269" s="190"/>
      <c r="P269" s="208"/>
      <c r="Q269" s="209"/>
    </row>
    <row r="270" spans="1:17" ht="12.2" customHeight="1" x14ac:dyDescent="0.25">
      <c r="A270" s="189" t="s">
        <v>586</v>
      </c>
      <c r="B270" s="207" t="s">
        <v>580</v>
      </c>
      <c r="C270" s="190" t="s">
        <v>587</v>
      </c>
      <c r="D270" s="191">
        <v>7400</v>
      </c>
      <c r="E270" s="192">
        <v>4400</v>
      </c>
      <c r="F270" s="193">
        <f t="shared" si="12"/>
        <v>3610</v>
      </c>
      <c r="G270" s="194">
        <f t="shared" si="13"/>
        <v>3740</v>
      </c>
      <c r="H270" s="195">
        <f t="shared" si="14"/>
        <v>3960</v>
      </c>
      <c r="I270" s="192">
        <f t="shared" si="15"/>
        <v>4180</v>
      </c>
      <c r="J270" s="196"/>
      <c r="K270" s="196"/>
      <c r="L270" s="198"/>
      <c r="M270" s="188"/>
      <c r="N270" s="198">
        <f>IFERROR(VLOOKUP(A270,'[3]0-LPM'!$A$6:$D$10668,4,0),"")</f>
        <v>824.00083333333328</v>
      </c>
      <c r="O270" s="190"/>
      <c r="P270" s="208"/>
      <c r="Q270" s="209"/>
    </row>
    <row r="271" spans="1:17" ht="12.2" customHeight="1" x14ac:dyDescent="0.25">
      <c r="A271" s="189" t="s">
        <v>588</v>
      </c>
      <c r="B271" s="207" t="s">
        <v>580</v>
      </c>
      <c r="C271" s="190" t="s">
        <v>589</v>
      </c>
      <c r="D271" s="191">
        <v>4500</v>
      </c>
      <c r="E271" s="192">
        <v>2700</v>
      </c>
      <c r="F271" s="193">
        <f t="shared" si="12"/>
        <v>2210</v>
      </c>
      <c r="G271" s="194">
        <f t="shared" si="13"/>
        <v>2300</v>
      </c>
      <c r="H271" s="195">
        <f t="shared" si="14"/>
        <v>2430</v>
      </c>
      <c r="I271" s="192">
        <f t="shared" si="15"/>
        <v>2570</v>
      </c>
      <c r="J271" s="196"/>
      <c r="K271" s="196"/>
      <c r="L271" s="198"/>
      <c r="M271" s="188"/>
      <c r="N271" s="198">
        <f>IFERROR(VLOOKUP(A271,'[3]0-LPM'!$A$6:$D$10668,4,0),"")</f>
        <v>779.30376861111097</v>
      </c>
      <c r="O271" s="190"/>
      <c r="P271" s="208"/>
      <c r="Q271" s="209"/>
    </row>
    <row r="272" spans="1:17" ht="12.2" customHeight="1" x14ac:dyDescent="0.25">
      <c r="A272" s="189" t="s">
        <v>590</v>
      </c>
      <c r="B272" s="207" t="s">
        <v>580</v>
      </c>
      <c r="C272" s="190" t="s">
        <v>591</v>
      </c>
      <c r="D272" s="191">
        <v>10800</v>
      </c>
      <c r="E272" s="192">
        <v>6500</v>
      </c>
      <c r="F272" s="193">
        <f t="shared" si="12"/>
        <v>5330</v>
      </c>
      <c r="G272" s="194">
        <f t="shared" si="13"/>
        <v>5530</v>
      </c>
      <c r="H272" s="195">
        <f t="shared" si="14"/>
        <v>5850</v>
      </c>
      <c r="I272" s="192">
        <f t="shared" si="15"/>
        <v>6180</v>
      </c>
      <c r="J272" s="196"/>
      <c r="K272" s="196"/>
      <c r="L272" s="198"/>
      <c r="M272" s="188"/>
      <c r="N272" s="198">
        <f>IFERROR(VLOOKUP(A272,'[3]0-LPM'!$A$6:$D$10668,4,0),"")</f>
        <v>1282.5568333333333</v>
      </c>
      <c r="O272" s="190"/>
      <c r="P272" s="208"/>
      <c r="Q272" s="209"/>
    </row>
    <row r="273" spans="1:17" ht="12.2" customHeight="1" x14ac:dyDescent="0.25">
      <c r="A273" s="189" t="s">
        <v>592</v>
      </c>
      <c r="B273" s="207" t="s">
        <v>580</v>
      </c>
      <c r="C273" s="190" t="s">
        <v>593</v>
      </c>
      <c r="D273" s="191">
        <v>10300</v>
      </c>
      <c r="E273" s="192">
        <v>6200</v>
      </c>
      <c r="F273" s="193">
        <f t="shared" si="12"/>
        <v>5080</v>
      </c>
      <c r="G273" s="194">
        <f t="shared" si="13"/>
        <v>5270</v>
      </c>
      <c r="H273" s="195">
        <f t="shared" si="14"/>
        <v>5580</v>
      </c>
      <c r="I273" s="192">
        <f t="shared" si="15"/>
        <v>5890</v>
      </c>
      <c r="J273" s="196"/>
      <c r="K273" s="196"/>
      <c r="L273" s="198"/>
      <c r="M273" s="188"/>
      <c r="N273" s="198">
        <f>IFERROR(VLOOKUP(A273,'[3]0-LPM'!$A$6:$D$10668,4,0),"")</f>
        <v>0</v>
      </c>
      <c r="O273" s="190"/>
      <c r="P273" s="208"/>
      <c r="Q273" s="209"/>
    </row>
    <row r="274" spans="1:17" ht="12.2" customHeight="1" x14ac:dyDescent="0.25">
      <c r="A274" s="189" t="s">
        <v>594</v>
      </c>
      <c r="B274" s="207" t="s">
        <v>580</v>
      </c>
      <c r="C274" s="190" t="s">
        <v>595</v>
      </c>
      <c r="D274" s="191">
        <v>11100</v>
      </c>
      <c r="E274" s="192">
        <v>6700</v>
      </c>
      <c r="F274" s="193">
        <f t="shared" si="12"/>
        <v>5490</v>
      </c>
      <c r="G274" s="194">
        <f t="shared" si="13"/>
        <v>5700</v>
      </c>
      <c r="H274" s="195">
        <f t="shared" si="14"/>
        <v>6030</v>
      </c>
      <c r="I274" s="192">
        <f t="shared" si="15"/>
        <v>6370</v>
      </c>
      <c r="J274" s="196"/>
      <c r="K274" s="196"/>
      <c r="L274" s="198"/>
      <c r="M274" s="188"/>
      <c r="N274" s="198" t="str">
        <f>IFERROR(VLOOKUP(A274,'[3]0-LPM'!$A$6:$D$10668,4,0),"")</f>
        <v/>
      </c>
      <c r="O274" s="190"/>
      <c r="P274" s="208"/>
      <c r="Q274" s="209"/>
    </row>
    <row r="275" spans="1:17" ht="12.2" customHeight="1" x14ac:dyDescent="0.25">
      <c r="A275" s="189" t="s">
        <v>596</v>
      </c>
      <c r="B275" s="207" t="s">
        <v>580</v>
      </c>
      <c r="C275" s="190" t="s">
        <v>597</v>
      </c>
      <c r="D275" s="191">
        <v>10300</v>
      </c>
      <c r="E275" s="192">
        <v>6200</v>
      </c>
      <c r="F275" s="193">
        <f t="shared" si="12"/>
        <v>5080</v>
      </c>
      <c r="G275" s="194">
        <f t="shared" si="13"/>
        <v>5270</v>
      </c>
      <c r="H275" s="195">
        <f t="shared" si="14"/>
        <v>5580</v>
      </c>
      <c r="I275" s="192">
        <f t="shared" si="15"/>
        <v>5890</v>
      </c>
      <c r="J275" s="196"/>
      <c r="K275" s="196"/>
      <c r="L275" s="198"/>
      <c r="M275" s="188"/>
      <c r="N275" s="198">
        <f>IFERROR(VLOOKUP(A275,'[3]0-LPM'!$A$6:$D$10668,4,0),"")</f>
        <v>0</v>
      </c>
      <c r="O275" s="190"/>
      <c r="P275" s="208"/>
      <c r="Q275" s="209"/>
    </row>
    <row r="276" spans="1:17" ht="12.2" customHeight="1" x14ac:dyDescent="0.25">
      <c r="A276" s="189" t="s">
        <v>598</v>
      </c>
      <c r="B276" s="207" t="s">
        <v>580</v>
      </c>
      <c r="C276" s="190" t="s">
        <v>599</v>
      </c>
      <c r="D276" s="191">
        <v>10300</v>
      </c>
      <c r="E276" s="192">
        <v>6200</v>
      </c>
      <c r="F276" s="193">
        <f t="shared" si="12"/>
        <v>5080</v>
      </c>
      <c r="G276" s="194">
        <f t="shared" si="13"/>
        <v>5270</v>
      </c>
      <c r="H276" s="195">
        <f t="shared" si="14"/>
        <v>5580</v>
      </c>
      <c r="I276" s="192">
        <f t="shared" si="15"/>
        <v>5890</v>
      </c>
      <c r="J276" s="196"/>
      <c r="K276" s="196"/>
      <c r="L276" s="198"/>
      <c r="M276" s="188"/>
      <c r="N276" s="198">
        <f>IFERROR(VLOOKUP(A276,'[3]0-LPM'!$A$6:$D$10668,4,0),"")</f>
        <v>0</v>
      </c>
      <c r="O276" s="190"/>
      <c r="P276" s="208"/>
      <c r="Q276" s="209"/>
    </row>
    <row r="277" spans="1:17" ht="12.2" customHeight="1" x14ac:dyDescent="0.25">
      <c r="A277" s="189" t="s">
        <v>600</v>
      </c>
      <c r="B277" s="207" t="s">
        <v>580</v>
      </c>
      <c r="C277" s="190" t="s">
        <v>601</v>
      </c>
      <c r="D277" s="191">
        <v>3200</v>
      </c>
      <c r="E277" s="192">
        <v>1900</v>
      </c>
      <c r="F277" s="193">
        <f t="shared" si="12"/>
        <v>1560</v>
      </c>
      <c r="G277" s="194">
        <f t="shared" si="13"/>
        <v>1620</v>
      </c>
      <c r="H277" s="195">
        <f t="shared" si="14"/>
        <v>1710</v>
      </c>
      <c r="I277" s="192">
        <f t="shared" si="15"/>
        <v>1810</v>
      </c>
      <c r="J277" s="196"/>
      <c r="K277" s="196"/>
      <c r="L277" s="198"/>
      <c r="M277" s="188"/>
      <c r="N277" s="198">
        <f>IFERROR(VLOOKUP(A277,'[3]0-LPM'!$A$6:$D$10668,4,0),"")</f>
        <v>0</v>
      </c>
      <c r="O277" s="190"/>
      <c r="P277" s="208"/>
      <c r="Q277" s="209"/>
    </row>
    <row r="278" spans="1:17" ht="12.2" customHeight="1" x14ac:dyDescent="0.25">
      <c r="A278" s="189" t="s">
        <v>602</v>
      </c>
      <c r="B278" s="207" t="s">
        <v>580</v>
      </c>
      <c r="C278" s="190" t="s">
        <v>603</v>
      </c>
      <c r="D278" s="191">
        <v>10500</v>
      </c>
      <c r="E278" s="192">
        <v>6300</v>
      </c>
      <c r="F278" s="193">
        <f t="shared" si="12"/>
        <v>5170</v>
      </c>
      <c r="G278" s="194">
        <f t="shared" si="13"/>
        <v>5360</v>
      </c>
      <c r="H278" s="195">
        <f t="shared" si="14"/>
        <v>5670</v>
      </c>
      <c r="I278" s="192">
        <f t="shared" si="15"/>
        <v>5990</v>
      </c>
      <c r="J278" s="196"/>
      <c r="K278" s="196"/>
      <c r="L278" s="198"/>
      <c r="M278" s="188"/>
      <c r="N278" s="198">
        <f>IFERROR(VLOOKUP(A278,'[3]0-LPM'!$A$6:$D$10668,4,0),"")</f>
        <v>0</v>
      </c>
      <c r="O278" s="190"/>
      <c r="P278" s="208"/>
      <c r="Q278" s="209"/>
    </row>
    <row r="279" spans="1:17" ht="12.2" customHeight="1" x14ac:dyDescent="0.25">
      <c r="A279" s="189" t="s">
        <v>604</v>
      </c>
      <c r="B279" s="207" t="s">
        <v>580</v>
      </c>
      <c r="C279" s="190" t="s">
        <v>605</v>
      </c>
      <c r="D279" s="191">
        <v>10700</v>
      </c>
      <c r="E279" s="192">
        <v>6400</v>
      </c>
      <c r="F279" s="193">
        <f t="shared" si="12"/>
        <v>5250</v>
      </c>
      <c r="G279" s="194">
        <f t="shared" si="13"/>
        <v>5440</v>
      </c>
      <c r="H279" s="195">
        <f t="shared" si="14"/>
        <v>5760</v>
      </c>
      <c r="I279" s="192">
        <f t="shared" si="15"/>
        <v>6080</v>
      </c>
      <c r="J279" s="196"/>
      <c r="K279" s="196"/>
      <c r="L279" s="198"/>
      <c r="M279" s="188"/>
      <c r="N279" s="198">
        <f>IFERROR(VLOOKUP(A279,'[3]0-LPM'!$A$6:$D$10668,4,0),"")</f>
        <v>0</v>
      </c>
      <c r="O279" s="190"/>
      <c r="P279" s="208"/>
      <c r="Q279" s="209"/>
    </row>
    <row r="280" spans="1:17" ht="12.2" customHeight="1" x14ac:dyDescent="0.25">
      <c r="A280" s="189" t="s">
        <v>606</v>
      </c>
      <c r="B280" s="207" t="s">
        <v>580</v>
      </c>
      <c r="C280" s="190" t="s">
        <v>607</v>
      </c>
      <c r="D280" s="191">
        <v>10700</v>
      </c>
      <c r="E280" s="192">
        <v>6400</v>
      </c>
      <c r="F280" s="193">
        <f t="shared" si="12"/>
        <v>5250</v>
      </c>
      <c r="G280" s="194">
        <f t="shared" si="13"/>
        <v>5440</v>
      </c>
      <c r="H280" s="195">
        <f t="shared" si="14"/>
        <v>5760</v>
      </c>
      <c r="I280" s="192">
        <f t="shared" si="15"/>
        <v>6080</v>
      </c>
      <c r="J280" s="196"/>
      <c r="K280" s="196"/>
      <c r="L280" s="198"/>
      <c r="M280" s="188"/>
      <c r="N280" s="198">
        <f>IFERROR(VLOOKUP(A280,'[3]0-LPM'!$A$6:$D$10668,4,0),"")</f>
        <v>0</v>
      </c>
      <c r="O280" s="190"/>
      <c r="P280" s="208"/>
      <c r="Q280" s="209"/>
    </row>
    <row r="281" spans="1:17" ht="12.2" customHeight="1" x14ac:dyDescent="0.25">
      <c r="A281" s="189" t="s">
        <v>608</v>
      </c>
      <c r="B281" s="207" t="s">
        <v>580</v>
      </c>
      <c r="C281" s="190" t="s">
        <v>609</v>
      </c>
      <c r="D281" s="191">
        <v>10700</v>
      </c>
      <c r="E281" s="192">
        <v>6400</v>
      </c>
      <c r="F281" s="193">
        <f t="shared" si="12"/>
        <v>5250</v>
      </c>
      <c r="G281" s="194">
        <f t="shared" si="13"/>
        <v>5440</v>
      </c>
      <c r="H281" s="195">
        <f t="shared" si="14"/>
        <v>5760</v>
      </c>
      <c r="I281" s="192">
        <f t="shared" si="15"/>
        <v>6080</v>
      </c>
      <c r="J281" s="196"/>
      <c r="K281" s="196"/>
      <c r="L281" s="198"/>
      <c r="M281" s="188"/>
      <c r="N281" s="198">
        <f>IFERROR(VLOOKUP(A281,'[3]0-LPM'!$A$6:$D$10668,4,0),"")</f>
        <v>1807.3630238095238</v>
      </c>
      <c r="O281" s="190"/>
      <c r="P281" s="208"/>
      <c r="Q281" s="209"/>
    </row>
    <row r="282" spans="1:17" ht="12.2" customHeight="1" x14ac:dyDescent="0.25">
      <c r="A282" s="189" t="s">
        <v>610</v>
      </c>
      <c r="B282" s="207" t="s">
        <v>580</v>
      </c>
      <c r="C282" s="190" t="s">
        <v>611</v>
      </c>
      <c r="D282" s="191">
        <v>10700</v>
      </c>
      <c r="E282" s="192">
        <v>6400</v>
      </c>
      <c r="F282" s="193">
        <f t="shared" si="12"/>
        <v>5250</v>
      </c>
      <c r="G282" s="194">
        <f t="shared" si="13"/>
        <v>5440</v>
      </c>
      <c r="H282" s="195">
        <f t="shared" si="14"/>
        <v>5760</v>
      </c>
      <c r="I282" s="192">
        <f t="shared" si="15"/>
        <v>6080</v>
      </c>
      <c r="J282" s="196"/>
      <c r="K282" s="196"/>
      <c r="L282" s="198"/>
      <c r="M282" s="188"/>
      <c r="N282" s="198">
        <f>IFERROR(VLOOKUP(A282,'[3]0-LPM'!$A$6:$D$10668,4,0),"")</f>
        <v>1117.2393976190476</v>
      </c>
      <c r="O282" s="190"/>
      <c r="P282" s="208"/>
      <c r="Q282" s="209"/>
    </row>
    <row r="283" spans="1:17" ht="12.2" customHeight="1" x14ac:dyDescent="0.25">
      <c r="A283" s="189" t="s">
        <v>612</v>
      </c>
      <c r="B283" s="207" t="s">
        <v>580</v>
      </c>
      <c r="C283" s="190" t="s">
        <v>613</v>
      </c>
      <c r="D283" s="191">
        <v>10700</v>
      </c>
      <c r="E283" s="192">
        <v>6400</v>
      </c>
      <c r="F283" s="193">
        <f t="shared" si="12"/>
        <v>5250</v>
      </c>
      <c r="G283" s="194">
        <f t="shared" si="13"/>
        <v>5440</v>
      </c>
      <c r="H283" s="195">
        <f t="shared" si="14"/>
        <v>5760</v>
      </c>
      <c r="I283" s="192">
        <f t="shared" si="15"/>
        <v>6080</v>
      </c>
      <c r="J283" s="196"/>
      <c r="K283" s="196"/>
      <c r="L283" s="198"/>
      <c r="M283" s="188"/>
      <c r="N283" s="198">
        <f>IFERROR(VLOOKUP(A283,'[3]0-LPM'!$A$6:$D$10668,4,0),"")</f>
        <v>2094.8687500000001</v>
      </c>
      <c r="O283" s="190"/>
      <c r="P283" s="208"/>
      <c r="Q283" s="209"/>
    </row>
    <row r="284" spans="1:17" ht="12.2" customHeight="1" x14ac:dyDescent="0.25">
      <c r="A284" s="189" t="s">
        <v>614</v>
      </c>
      <c r="B284" s="207" t="s">
        <v>580</v>
      </c>
      <c r="C284" s="190" t="s">
        <v>615</v>
      </c>
      <c r="D284" s="191">
        <v>10700</v>
      </c>
      <c r="E284" s="192">
        <v>6400</v>
      </c>
      <c r="F284" s="193">
        <f t="shared" ref="F284:F348" si="16">+ROUND(E284-H284*F$1,-1)</f>
        <v>5250</v>
      </c>
      <c r="G284" s="194">
        <f t="shared" ref="G284:G348" si="17">+ROUND(E284-E284*G$1,-1)</f>
        <v>5440</v>
      </c>
      <c r="H284" s="195">
        <f t="shared" ref="H284:H348" si="18">+ROUND(E284-E284*H$1,-1)</f>
        <v>5760</v>
      </c>
      <c r="I284" s="192">
        <f t="shared" ref="I284:I348" si="19">+ROUND(E284-E284*I$1,-1)</f>
        <v>6080</v>
      </c>
      <c r="J284" s="196"/>
      <c r="K284" s="196"/>
      <c r="L284" s="198"/>
      <c r="M284" s="188"/>
      <c r="N284" s="198">
        <f>IFERROR(VLOOKUP(A284,'[3]0-LPM'!$A$6:$D$10668,4,0),"")</f>
        <v>0</v>
      </c>
      <c r="O284" s="190"/>
      <c r="P284" s="208"/>
      <c r="Q284" s="209"/>
    </row>
    <row r="285" spans="1:17" ht="12.2" customHeight="1" x14ac:dyDescent="0.25">
      <c r="A285" s="189" t="s">
        <v>616</v>
      </c>
      <c r="B285" s="207" t="s">
        <v>580</v>
      </c>
      <c r="C285" s="190" t="s">
        <v>617</v>
      </c>
      <c r="D285" s="191">
        <v>10700</v>
      </c>
      <c r="E285" s="192">
        <v>6400</v>
      </c>
      <c r="F285" s="193">
        <f t="shared" si="16"/>
        <v>5250</v>
      </c>
      <c r="G285" s="194">
        <f t="shared" si="17"/>
        <v>5440</v>
      </c>
      <c r="H285" s="195">
        <f t="shared" si="18"/>
        <v>5760</v>
      </c>
      <c r="I285" s="192">
        <f t="shared" si="19"/>
        <v>6080</v>
      </c>
      <c r="J285" s="196"/>
      <c r="K285" s="196"/>
      <c r="L285" s="198"/>
      <c r="M285" s="188"/>
      <c r="N285" s="198" t="str">
        <f>IFERROR(VLOOKUP(A285,'[3]0-LPM'!$A$6:$D$10668,4,0),"")</f>
        <v/>
      </c>
      <c r="O285" s="190"/>
      <c r="P285" s="208"/>
      <c r="Q285" s="209"/>
    </row>
    <row r="286" spans="1:17" ht="12.2" customHeight="1" x14ac:dyDescent="0.25">
      <c r="A286" s="189" t="s">
        <v>618</v>
      </c>
      <c r="B286" s="207" t="s">
        <v>580</v>
      </c>
      <c r="C286" s="190" t="s">
        <v>619</v>
      </c>
      <c r="D286" s="191">
        <v>10700</v>
      </c>
      <c r="E286" s="192">
        <v>6400</v>
      </c>
      <c r="F286" s="193">
        <f t="shared" si="16"/>
        <v>5250</v>
      </c>
      <c r="G286" s="194">
        <f t="shared" si="17"/>
        <v>5440</v>
      </c>
      <c r="H286" s="195">
        <f t="shared" si="18"/>
        <v>5760</v>
      </c>
      <c r="I286" s="192">
        <f t="shared" si="19"/>
        <v>6080</v>
      </c>
      <c r="J286" s="196"/>
      <c r="K286" s="196"/>
      <c r="L286" s="198"/>
      <c r="M286" s="188"/>
      <c r="N286" s="198">
        <f>IFERROR(VLOOKUP(A286,'[3]0-LPM'!$A$6:$D$10668,4,0),"")</f>
        <v>1331.1807260942762</v>
      </c>
      <c r="O286" s="190"/>
      <c r="P286" s="208"/>
      <c r="Q286" s="209"/>
    </row>
    <row r="287" spans="1:17" ht="12.2" customHeight="1" x14ac:dyDescent="0.25">
      <c r="A287" s="189" t="s">
        <v>620</v>
      </c>
      <c r="B287" s="207" t="s">
        <v>580</v>
      </c>
      <c r="C287" s="190" t="s">
        <v>621</v>
      </c>
      <c r="D287" s="191">
        <v>10700</v>
      </c>
      <c r="E287" s="192">
        <v>6400</v>
      </c>
      <c r="F287" s="193">
        <f t="shared" si="16"/>
        <v>5250</v>
      </c>
      <c r="G287" s="194">
        <f t="shared" si="17"/>
        <v>5440</v>
      </c>
      <c r="H287" s="195">
        <f t="shared" si="18"/>
        <v>5760</v>
      </c>
      <c r="I287" s="192">
        <f t="shared" si="19"/>
        <v>6080</v>
      </c>
      <c r="J287" s="196"/>
      <c r="K287" s="196"/>
      <c r="L287" s="198"/>
      <c r="M287" s="188"/>
      <c r="N287" s="198">
        <f>IFERROR(VLOOKUP(A287,'[3]0-LPM'!$A$6:$D$10668,4,0),"")</f>
        <v>1331.1807260942762</v>
      </c>
      <c r="O287" s="190"/>
      <c r="P287" s="208"/>
      <c r="Q287" s="209"/>
    </row>
    <row r="288" spans="1:17" ht="12.2" customHeight="1" x14ac:dyDescent="0.25">
      <c r="A288" s="189" t="s">
        <v>622</v>
      </c>
      <c r="B288" s="207" t="s">
        <v>580</v>
      </c>
      <c r="C288" s="190" t="s">
        <v>623</v>
      </c>
      <c r="D288" s="191">
        <v>10700</v>
      </c>
      <c r="E288" s="192">
        <v>6400</v>
      </c>
      <c r="F288" s="193">
        <f t="shared" si="16"/>
        <v>5250</v>
      </c>
      <c r="G288" s="194">
        <f t="shared" si="17"/>
        <v>5440</v>
      </c>
      <c r="H288" s="195">
        <f t="shared" si="18"/>
        <v>5760</v>
      </c>
      <c r="I288" s="192">
        <f t="shared" si="19"/>
        <v>6080</v>
      </c>
      <c r="J288" s="196"/>
      <c r="K288" s="196"/>
      <c r="L288" s="198"/>
      <c r="M288" s="188"/>
      <c r="N288" s="198">
        <f>IFERROR(VLOOKUP(A288,'[3]0-LPM'!$A$6:$D$10668,4,0),"")</f>
        <v>1411.1807260942762</v>
      </c>
      <c r="O288" s="190"/>
      <c r="P288" s="208"/>
      <c r="Q288" s="209"/>
    </row>
    <row r="289" spans="1:17" ht="12.2" customHeight="1" x14ac:dyDescent="0.25">
      <c r="A289" s="189" t="s">
        <v>624</v>
      </c>
      <c r="B289" s="207" t="s">
        <v>580</v>
      </c>
      <c r="C289" s="190" t="s">
        <v>625</v>
      </c>
      <c r="D289" s="191">
        <v>10700</v>
      </c>
      <c r="E289" s="192">
        <v>6400</v>
      </c>
      <c r="F289" s="193">
        <f t="shared" si="16"/>
        <v>5250</v>
      </c>
      <c r="G289" s="194">
        <f t="shared" si="17"/>
        <v>5440</v>
      </c>
      <c r="H289" s="195">
        <f t="shared" si="18"/>
        <v>5760</v>
      </c>
      <c r="I289" s="192">
        <f t="shared" si="19"/>
        <v>6080</v>
      </c>
      <c r="J289" s="196"/>
      <c r="K289" s="196"/>
      <c r="L289" s="198"/>
      <c r="M289" s="188"/>
      <c r="N289" s="198">
        <f>IFERROR(VLOOKUP(A289,'[3]0-LPM'!$A$6:$D$10668,4,0),"")</f>
        <v>1339.4340594276096</v>
      </c>
      <c r="O289" s="190"/>
      <c r="P289" s="208"/>
      <c r="Q289" s="209"/>
    </row>
    <row r="290" spans="1:17" ht="12.2" customHeight="1" x14ac:dyDescent="0.25">
      <c r="A290" s="189" t="s">
        <v>626</v>
      </c>
      <c r="B290" s="207" t="s">
        <v>580</v>
      </c>
      <c r="C290" s="190" t="s">
        <v>627</v>
      </c>
      <c r="D290" s="191">
        <v>10700</v>
      </c>
      <c r="E290" s="192">
        <v>6400</v>
      </c>
      <c r="F290" s="193">
        <f t="shared" si="16"/>
        <v>5250</v>
      </c>
      <c r="G290" s="194">
        <f t="shared" si="17"/>
        <v>5440</v>
      </c>
      <c r="H290" s="195">
        <f t="shared" si="18"/>
        <v>5760</v>
      </c>
      <c r="I290" s="192">
        <f t="shared" si="19"/>
        <v>6080</v>
      </c>
      <c r="J290" s="196"/>
      <c r="K290" s="196"/>
      <c r="L290" s="198"/>
      <c r="M290" s="188"/>
      <c r="N290" s="198">
        <f>IFERROR(VLOOKUP(A290,'[3]0-LPM'!$A$6:$D$10668,4,0),"")</f>
        <v>1385.1152260942761</v>
      </c>
      <c r="O290" s="190"/>
      <c r="P290" s="208"/>
      <c r="Q290" s="209"/>
    </row>
    <row r="291" spans="1:17" ht="12.2" customHeight="1" x14ac:dyDescent="0.25">
      <c r="A291" s="189" t="s">
        <v>628</v>
      </c>
      <c r="B291" s="207" t="s">
        <v>580</v>
      </c>
      <c r="C291" s="190" t="s">
        <v>629</v>
      </c>
      <c r="D291" s="191">
        <v>10700</v>
      </c>
      <c r="E291" s="192">
        <v>6400</v>
      </c>
      <c r="F291" s="193">
        <f t="shared" si="16"/>
        <v>5250</v>
      </c>
      <c r="G291" s="194">
        <f t="shared" si="17"/>
        <v>5440</v>
      </c>
      <c r="H291" s="195">
        <f t="shared" si="18"/>
        <v>5760</v>
      </c>
      <c r="I291" s="192">
        <f t="shared" si="19"/>
        <v>6080</v>
      </c>
      <c r="J291" s="196"/>
      <c r="K291" s="196"/>
      <c r="L291" s="198"/>
      <c r="M291" s="188"/>
      <c r="N291" s="198">
        <f>IFERROR(VLOOKUP(A291,'[3]0-LPM'!$A$6:$D$10668,4,0),"")</f>
        <v>0</v>
      </c>
      <c r="O291" s="190"/>
      <c r="P291" s="208"/>
      <c r="Q291" s="209"/>
    </row>
    <row r="292" spans="1:17" ht="12.2" customHeight="1" x14ac:dyDescent="0.25">
      <c r="A292" s="189" t="s">
        <v>630</v>
      </c>
      <c r="B292" s="207" t="s">
        <v>580</v>
      </c>
      <c r="C292" s="190" t="s">
        <v>536</v>
      </c>
      <c r="D292" s="191">
        <v>7700</v>
      </c>
      <c r="E292" s="192">
        <v>4600</v>
      </c>
      <c r="F292" s="193">
        <f t="shared" si="16"/>
        <v>3770</v>
      </c>
      <c r="G292" s="194">
        <f t="shared" si="17"/>
        <v>3910</v>
      </c>
      <c r="H292" s="195">
        <f t="shared" si="18"/>
        <v>4140</v>
      </c>
      <c r="I292" s="192">
        <f t="shared" si="19"/>
        <v>4370</v>
      </c>
      <c r="J292" s="196"/>
      <c r="K292" s="196"/>
      <c r="L292" s="198"/>
      <c r="M292" s="188"/>
      <c r="N292" s="198">
        <f>IFERROR(VLOOKUP(A292,'[3]0-LPM'!$A$6:$D$10668,4,0),"")</f>
        <v>0</v>
      </c>
      <c r="O292" s="190"/>
      <c r="P292" s="208"/>
      <c r="Q292" s="209"/>
    </row>
    <row r="293" spans="1:17" ht="12.2" customHeight="1" x14ac:dyDescent="0.25">
      <c r="A293" s="189" t="s">
        <v>631</v>
      </c>
      <c r="B293" s="207" t="s">
        <v>580</v>
      </c>
      <c r="C293" s="190" t="s">
        <v>632</v>
      </c>
      <c r="D293" s="191">
        <v>4500</v>
      </c>
      <c r="E293" s="192">
        <v>2700</v>
      </c>
      <c r="F293" s="193">
        <f t="shared" si="16"/>
        <v>2210</v>
      </c>
      <c r="G293" s="194">
        <f t="shared" si="17"/>
        <v>2300</v>
      </c>
      <c r="H293" s="195">
        <f t="shared" si="18"/>
        <v>2430</v>
      </c>
      <c r="I293" s="192">
        <f t="shared" si="19"/>
        <v>2570</v>
      </c>
      <c r="J293" s="196"/>
      <c r="K293" s="196"/>
      <c r="L293" s="198"/>
      <c r="M293" s="188"/>
      <c r="N293" s="198">
        <f>IFERROR(VLOOKUP(A293,'[3]0-LPM'!$A$6:$D$10668,4,0),"")</f>
        <v>779.30376861111097</v>
      </c>
      <c r="O293" s="190"/>
      <c r="P293" s="208"/>
      <c r="Q293" s="209"/>
    </row>
    <row r="294" spans="1:17" ht="12.2" customHeight="1" x14ac:dyDescent="0.25">
      <c r="A294" s="189" t="s">
        <v>633</v>
      </c>
      <c r="B294" s="207" t="s">
        <v>580</v>
      </c>
      <c r="C294" s="190" t="s">
        <v>634</v>
      </c>
      <c r="D294" s="191">
        <v>4500</v>
      </c>
      <c r="E294" s="192">
        <v>2700</v>
      </c>
      <c r="F294" s="193">
        <f t="shared" si="16"/>
        <v>2210</v>
      </c>
      <c r="G294" s="194">
        <f t="shared" si="17"/>
        <v>2300</v>
      </c>
      <c r="H294" s="195">
        <f t="shared" si="18"/>
        <v>2430</v>
      </c>
      <c r="I294" s="192">
        <f t="shared" si="19"/>
        <v>2570</v>
      </c>
      <c r="J294" s="196"/>
      <c r="K294" s="196"/>
      <c r="L294" s="198"/>
      <c r="M294" s="188"/>
      <c r="N294" s="198">
        <f>IFERROR(VLOOKUP(A294,'[3]0-LPM'!$A$6:$D$10668,4,0),"")</f>
        <v>897.12876861111101</v>
      </c>
      <c r="O294" s="190"/>
      <c r="P294" s="208"/>
      <c r="Q294" s="209"/>
    </row>
    <row r="295" spans="1:17" ht="12.2" customHeight="1" x14ac:dyDescent="0.25">
      <c r="A295" s="189" t="s">
        <v>635</v>
      </c>
      <c r="B295" s="207" t="s">
        <v>580</v>
      </c>
      <c r="C295" s="190" t="s">
        <v>636</v>
      </c>
      <c r="D295" s="191">
        <v>9400</v>
      </c>
      <c r="E295" s="192">
        <v>5600</v>
      </c>
      <c r="F295" s="193">
        <f t="shared" si="16"/>
        <v>4590</v>
      </c>
      <c r="G295" s="194">
        <f t="shared" si="17"/>
        <v>4760</v>
      </c>
      <c r="H295" s="195">
        <f t="shared" si="18"/>
        <v>5040</v>
      </c>
      <c r="I295" s="192">
        <f t="shared" si="19"/>
        <v>5320</v>
      </c>
      <c r="J295" s="196"/>
      <c r="K295" s="196"/>
      <c r="L295" s="198"/>
      <c r="M295" s="188"/>
      <c r="N295" s="198" t="str">
        <f>IFERROR(VLOOKUP(A295,'[3]0-LPM'!$A$6:$D$10668,4,0),"")</f>
        <v/>
      </c>
      <c r="O295" s="190"/>
      <c r="P295" s="208"/>
      <c r="Q295" s="209"/>
    </row>
    <row r="296" spans="1:17" ht="12.2" customHeight="1" x14ac:dyDescent="0.25">
      <c r="A296" s="189" t="s">
        <v>637</v>
      </c>
      <c r="B296" s="207" t="s">
        <v>580</v>
      </c>
      <c r="C296" s="190" t="s">
        <v>638</v>
      </c>
      <c r="D296" s="191">
        <v>9400</v>
      </c>
      <c r="E296" s="192">
        <v>5600</v>
      </c>
      <c r="F296" s="193">
        <f t="shared" si="16"/>
        <v>4590</v>
      </c>
      <c r="G296" s="194">
        <f t="shared" si="17"/>
        <v>4760</v>
      </c>
      <c r="H296" s="195">
        <f t="shared" si="18"/>
        <v>5040</v>
      </c>
      <c r="I296" s="192">
        <f t="shared" si="19"/>
        <v>5320</v>
      </c>
      <c r="J296" s="196"/>
      <c r="K296" s="196"/>
      <c r="L296" s="198"/>
      <c r="M296" s="188"/>
      <c r="N296" s="198" t="str">
        <f>IFERROR(VLOOKUP(A296,'[3]0-LPM'!$A$6:$D$10668,4,0),"")</f>
        <v/>
      </c>
      <c r="O296" s="190"/>
      <c r="P296" s="208"/>
      <c r="Q296" s="209"/>
    </row>
    <row r="297" spans="1:17" ht="12.2" customHeight="1" x14ac:dyDescent="0.25">
      <c r="A297" s="189" t="s">
        <v>639</v>
      </c>
      <c r="B297" s="207" t="s">
        <v>580</v>
      </c>
      <c r="C297" s="190" t="s">
        <v>640</v>
      </c>
      <c r="D297" s="191">
        <v>9400</v>
      </c>
      <c r="E297" s="192">
        <v>5600</v>
      </c>
      <c r="F297" s="193">
        <f t="shared" si="16"/>
        <v>4590</v>
      </c>
      <c r="G297" s="194">
        <f t="shared" si="17"/>
        <v>4760</v>
      </c>
      <c r="H297" s="195">
        <f t="shared" si="18"/>
        <v>5040</v>
      </c>
      <c r="I297" s="192">
        <f t="shared" si="19"/>
        <v>5320</v>
      </c>
      <c r="J297" s="196"/>
      <c r="K297" s="196"/>
      <c r="L297" s="198"/>
      <c r="M297" s="188"/>
      <c r="N297" s="198" t="str">
        <f>IFERROR(VLOOKUP(A297,'[3]0-LPM'!$A$6:$D$10668,4,0),"")</f>
        <v/>
      </c>
      <c r="O297" s="190"/>
      <c r="P297" s="208"/>
      <c r="Q297" s="209"/>
    </row>
    <row r="298" spans="1:17" ht="12.2" customHeight="1" x14ac:dyDescent="0.25">
      <c r="A298" s="189" t="s">
        <v>641</v>
      </c>
      <c r="B298" s="207" t="s">
        <v>580</v>
      </c>
      <c r="C298" s="190" t="s">
        <v>642</v>
      </c>
      <c r="D298" s="191">
        <v>20900</v>
      </c>
      <c r="E298" s="192">
        <v>12500</v>
      </c>
      <c r="F298" s="193">
        <f t="shared" si="16"/>
        <v>10250</v>
      </c>
      <c r="G298" s="194">
        <f t="shared" si="17"/>
        <v>10630</v>
      </c>
      <c r="H298" s="195">
        <f t="shared" si="18"/>
        <v>11250</v>
      </c>
      <c r="I298" s="192">
        <f t="shared" si="19"/>
        <v>11880</v>
      </c>
      <c r="J298" s="196"/>
      <c r="K298" s="196"/>
      <c r="L298" s="198"/>
      <c r="M298" s="188"/>
      <c r="N298" s="198" t="str">
        <f>IFERROR(VLOOKUP(A298,'[3]0-LPM'!$A$6:$D$10668,4,0),"")</f>
        <v/>
      </c>
      <c r="O298" s="190"/>
      <c r="P298" s="208"/>
      <c r="Q298" s="209"/>
    </row>
    <row r="299" spans="1:17" ht="12.2" customHeight="1" x14ac:dyDescent="0.25">
      <c r="A299" s="189" t="s">
        <v>643</v>
      </c>
      <c r="B299" s="207" t="s">
        <v>580</v>
      </c>
      <c r="C299" s="190" t="s">
        <v>644</v>
      </c>
      <c r="D299" s="191">
        <v>0</v>
      </c>
      <c r="E299" s="192">
        <v>0</v>
      </c>
      <c r="F299" s="193">
        <f t="shared" si="16"/>
        <v>0</v>
      </c>
      <c r="G299" s="194">
        <f t="shared" si="17"/>
        <v>0</v>
      </c>
      <c r="H299" s="195">
        <f t="shared" si="18"/>
        <v>0</v>
      </c>
      <c r="I299" s="192">
        <f t="shared" si="19"/>
        <v>0</v>
      </c>
      <c r="J299" s="196"/>
      <c r="K299" s="196"/>
      <c r="L299" s="198"/>
      <c r="M299" s="188"/>
      <c r="N299" s="198" t="str">
        <f>IFERROR(VLOOKUP(A299,'[3]0-LPM'!$A$6:$D$10668,4,0),"")</f>
        <v/>
      </c>
      <c r="O299" s="190"/>
      <c r="P299" s="208"/>
      <c r="Q299" s="209"/>
    </row>
    <row r="300" spans="1:17" ht="12.2" customHeight="1" x14ac:dyDescent="0.25">
      <c r="A300" s="204"/>
      <c r="B300" s="205"/>
      <c r="C300" s="206" t="str">
        <f>+B301</f>
        <v>TORTAS INDIVIDUALES</v>
      </c>
      <c r="D300" s="191">
        <v>0</v>
      </c>
      <c r="E300" s="192">
        <v>0</v>
      </c>
      <c r="F300" s="193">
        <f t="shared" si="16"/>
        <v>0</v>
      </c>
      <c r="G300" s="194">
        <f t="shared" si="17"/>
        <v>0</v>
      </c>
      <c r="H300" s="195">
        <f t="shared" si="18"/>
        <v>0</v>
      </c>
      <c r="I300" s="192">
        <f t="shared" si="19"/>
        <v>0</v>
      </c>
      <c r="J300" s="196"/>
      <c r="K300" s="196"/>
      <c r="L300" s="198"/>
      <c r="M300" s="188"/>
      <c r="N300" s="198" t="str">
        <f>IFERROR(VLOOKUP(A300,'[3]0-LPM'!$A$6:$D$10668,4,0),"")</f>
        <v/>
      </c>
      <c r="O300" s="206"/>
      <c r="P300" s="208"/>
      <c r="Q300" s="209"/>
    </row>
    <row r="301" spans="1:17" ht="12.2" customHeight="1" x14ac:dyDescent="0.25">
      <c r="A301" s="189" t="s">
        <v>645</v>
      </c>
      <c r="B301" s="207" t="s">
        <v>646</v>
      </c>
      <c r="C301" s="190" t="s">
        <v>647</v>
      </c>
      <c r="D301" s="191">
        <v>8100</v>
      </c>
      <c r="E301" s="192">
        <v>4900</v>
      </c>
      <c r="F301" s="193">
        <f t="shared" si="16"/>
        <v>4020</v>
      </c>
      <c r="G301" s="194">
        <f t="shared" si="17"/>
        <v>4170</v>
      </c>
      <c r="H301" s="195">
        <f t="shared" si="18"/>
        <v>4410</v>
      </c>
      <c r="I301" s="192">
        <f t="shared" si="19"/>
        <v>4660</v>
      </c>
      <c r="J301" s="196"/>
      <c r="K301" s="196"/>
      <c r="L301" s="198"/>
      <c r="M301" s="188"/>
      <c r="N301" s="198">
        <f>IFERROR(VLOOKUP(A301,'[3]0-LPM'!$A$6:$D$10668,4,0),"")</f>
        <v>779.30376861111097</v>
      </c>
      <c r="O301" s="190"/>
      <c r="P301" s="208"/>
      <c r="Q301" s="209"/>
    </row>
    <row r="302" spans="1:17" ht="12.2" customHeight="1" x14ac:dyDescent="0.25">
      <c r="A302" s="189" t="s">
        <v>648</v>
      </c>
      <c r="B302" s="207" t="s">
        <v>646</v>
      </c>
      <c r="C302" s="190" t="s">
        <v>649</v>
      </c>
      <c r="D302" s="191">
        <v>9900</v>
      </c>
      <c r="E302" s="192">
        <v>5900</v>
      </c>
      <c r="F302" s="193">
        <f t="shared" si="16"/>
        <v>4840</v>
      </c>
      <c r="G302" s="194">
        <f t="shared" si="17"/>
        <v>5020</v>
      </c>
      <c r="H302" s="195">
        <f t="shared" si="18"/>
        <v>5310</v>
      </c>
      <c r="I302" s="192">
        <f t="shared" si="19"/>
        <v>5610</v>
      </c>
      <c r="J302" s="196"/>
      <c r="K302" s="196"/>
      <c r="L302" s="198"/>
      <c r="M302" s="188"/>
      <c r="N302" s="198">
        <f>IFERROR(VLOOKUP(A302,'[3]0-LPM'!$A$6:$D$10668,4,0),"")</f>
        <v>1889.1018333333332</v>
      </c>
      <c r="O302" s="190"/>
      <c r="P302" s="208"/>
      <c r="Q302" s="209"/>
    </row>
    <row r="303" spans="1:17" ht="12.2" customHeight="1" x14ac:dyDescent="0.25">
      <c r="A303" s="189" t="s">
        <v>650</v>
      </c>
      <c r="B303" s="207" t="s">
        <v>646</v>
      </c>
      <c r="C303" s="190" t="s">
        <v>651</v>
      </c>
      <c r="D303" s="191">
        <v>11900</v>
      </c>
      <c r="E303" s="192">
        <v>7100</v>
      </c>
      <c r="F303" s="193">
        <f t="shared" si="16"/>
        <v>5820</v>
      </c>
      <c r="G303" s="194">
        <f t="shared" si="17"/>
        <v>6040</v>
      </c>
      <c r="H303" s="195">
        <f t="shared" si="18"/>
        <v>6390</v>
      </c>
      <c r="I303" s="192">
        <f t="shared" si="19"/>
        <v>6750</v>
      </c>
      <c r="J303" s="196"/>
      <c r="K303" s="196"/>
      <c r="L303" s="198"/>
      <c r="M303" s="188"/>
      <c r="N303" s="198">
        <f>IFERROR(VLOOKUP(A303,'[3]0-LPM'!$A$6:$D$10668,4,0),"")</f>
        <v>1962.3601666666668</v>
      </c>
      <c r="O303" s="190"/>
      <c r="P303" s="208"/>
      <c r="Q303" s="209"/>
    </row>
    <row r="304" spans="1:17" ht="12.2" customHeight="1" x14ac:dyDescent="0.25">
      <c r="A304" s="189" t="s">
        <v>652</v>
      </c>
      <c r="B304" s="207" t="s">
        <v>646</v>
      </c>
      <c r="C304" s="190" t="s">
        <v>653</v>
      </c>
      <c r="D304" s="191">
        <v>11900</v>
      </c>
      <c r="E304" s="192">
        <v>7100</v>
      </c>
      <c r="F304" s="193">
        <f t="shared" si="16"/>
        <v>5820</v>
      </c>
      <c r="G304" s="194">
        <f t="shared" si="17"/>
        <v>6040</v>
      </c>
      <c r="H304" s="195">
        <f t="shared" si="18"/>
        <v>6390</v>
      </c>
      <c r="I304" s="192">
        <f t="shared" si="19"/>
        <v>6750</v>
      </c>
      <c r="J304" s="196"/>
      <c r="K304" s="196"/>
      <c r="L304" s="198"/>
      <c r="M304" s="188"/>
      <c r="N304" s="198">
        <f>IFERROR(VLOOKUP(A304,'[3]0-LPM'!$A$6:$D$10668,4,0),"")</f>
        <v>1487.1203333333333</v>
      </c>
      <c r="O304" s="190"/>
      <c r="P304" s="208"/>
      <c r="Q304" s="209"/>
    </row>
    <row r="305" spans="1:17" ht="12.2" customHeight="1" x14ac:dyDescent="0.25">
      <c r="A305" s="189" t="s">
        <v>654</v>
      </c>
      <c r="B305" s="207" t="s">
        <v>646</v>
      </c>
      <c r="C305" s="190" t="s">
        <v>655</v>
      </c>
      <c r="D305" s="191">
        <v>11900</v>
      </c>
      <c r="E305" s="192">
        <v>7100</v>
      </c>
      <c r="F305" s="193">
        <f t="shared" si="16"/>
        <v>5820</v>
      </c>
      <c r="G305" s="194">
        <f t="shared" si="17"/>
        <v>6040</v>
      </c>
      <c r="H305" s="195">
        <f t="shared" si="18"/>
        <v>6390</v>
      </c>
      <c r="I305" s="192">
        <f t="shared" si="19"/>
        <v>6750</v>
      </c>
      <c r="J305" s="196"/>
      <c r="K305" s="196"/>
      <c r="L305" s="198"/>
      <c r="M305" s="188"/>
      <c r="N305" s="198">
        <f>IFERROR(VLOOKUP(A305,'[3]0-LPM'!$A$6:$D$10668,4,0),"")</f>
        <v>4178.6887267354386</v>
      </c>
      <c r="O305" s="190"/>
      <c r="P305" s="208"/>
      <c r="Q305" s="209"/>
    </row>
    <row r="306" spans="1:17" ht="12.2" customHeight="1" x14ac:dyDescent="0.25">
      <c r="A306" s="189" t="s">
        <v>656</v>
      </c>
      <c r="B306" s="207" t="s">
        <v>646</v>
      </c>
      <c r="C306" s="190" t="s">
        <v>657</v>
      </c>
      <c r="D306" s="191">
        <v>11900</v>
      </c>
      <c r="E306" s="192">
        <v>7100</v>
      </c>
      <c r="F306" s="193">
        <f t="shared" si="16"/>
        <v>5820</v>
      </c>
      <c r="G306" s="194">
        <f t="shared" si="17"/>
        <v>6040</v>
      </c>
      <c r="H306" s="195">
        <f t="shared" si="18"/>
        <v>6390</v>
      </c>
      <c r="I306" s="192">
        <f t="shared" si="19"/>
        <v>6750</v>
      </c>
      <c r="J306" s="196"/>
      <c r="K306" s="196"/>
      <c r="L306" s="198"/>
      <c r="M306" s="188"/>
      <c r="N306" s="198">
        <f>IFERROR(VLOOKUP(A306,'[3]0-LPM'!$A$6:$D$10668,4,0),"")</f>
        <v>0</v>
      </c>
      <c r="O306" s="190"/>
      <c r="P306" s="208"/>
      <c r="Q306" s="209"/>
    </row>
    <row r="307" spans="1:17" ht="12.2" customHeight="1" x14ac:dyDescent="0.25">
      <c r="A307" s="189" t="s">
        <v>658</v>
      </c>
      <c r="B307" s="207" t="s">
        <v>646</v>
      </c>
      <c r="C307" s="190" t="s">
        <v>659</v>
      </c>
      <c r="D307" s="191">
        <v>11200</v>
      </c>
      <c r="E307" s="192">
        <v>6700</v>
      </c>
      <c r="F307" s="193">
        <f t="shared" si="16"/>
        <v>5490</v>
      </c>
      <c r="G307" s="194">
        <f t="shared" si="17"/>
        <v>5700</v>
      </c>
      <c r="H307" s="195">
        <f t="shared" si="18"/>
        <v>6030</v>
      </c>
      <c r="I307" s="192">
        <f t="shared" si="19"/>
        <v>6370</v>
      </c>
      <c r="J307" s="196"/>
      <c r="K307" s="196"/>
      <c r="L307" s="198"/>
      <c r="M307" s="188"/>
      <c r="N307" s="198">
        <f>IFERROR(VLOOKUP(A307,'[3]0-LPM'!$A$6:$D$10668,4,0),"")</f>
        <v>2310.8876777777778</v>
      </c>
      <c r="O307" s="190"/>
      <c r="P307" s="208"/>
      <c r="Q307" s="209"/>
    </row>
    <row r="308" spans="1:17" ht="12.2" customHeight="1" x14ac:dyDescent="0.25">
      <c r="A308" s="189" t="s">
        <v>660</v>
      </c>
      <c r="B308" s="207" t="s">
        <v>646</v>
      </c>
      <c r="C308" s="190" t="s">
        <v>661</v>
      </c>
      <c r="D308" s="191">
        <v>11200</v>
      </c>
      <c r="E308" s="192">
        <v>6700</v>
      </c>
      <c r="F308" s="193">
        <f t="shared" si="16"/>
        <v>5490</v>
      </c>
      <c r="G308" s="194">
        <f t="shared" si="17"/>
        <v>5700</v>
      </c>
      <c r="H308" s="195">
        <f t="shared" si="18"/>
        <v>6030</v>
      </c>
      <c r="I308" s="192">
        <f t="shared" si="19"/>
        <v>6370</v>
      </c>
      <c r="J308" s="196"/>
      <c r="K308" s="196"/>
      <c r="L308" s="198"/>
      <c r="M308" s="188"/>
      <c r="N308" s="198">
        <f>IFERROR(VLOOKUP(A308,'[3]0-LPM'!$A$6:$D$10668,4,0),"")</f>
        <v>2669.9573611111109</v>
      </c>
      <c r="O308" s="190"/>
      <c r="P308" s="208"/>
      <c r="Q308" s="209"/>
    </row>
    <row r="309" spans="1:17" ht="12.2" customHeight="1" x14ac:dyDescent="0.25">
      <c r="A309" s="189" t="s">
        <v>662</v>
      </c>
      <c r="B309" s="207" t="s">
        <v>646</v>
      </c>
      <c r="C309" s="190" t="s">
        <v>663</v>
      </c>
      <c r="D309" s="191">
        <v>11200</v>
      </c>
      <c r="E309" s="192">
        <v>6700</v>
      </c>
      <c r="F309" s="193">
        <f t="shared" si="16"/>
        <v>5490</v>
      </c>
      <c r="G309" s="194">
        <f t="shared" si="17"/>
        <v>5700</v>
      </c>
      <c r="H309" s="195">
        <f t="shared" si="18"/>
        <v>6030</v>
      </c>
      <c r="I309" s="192">
        <f t="shared" si="19"/>
        <v>6370</v>
      </c>
      <c r="J309" s="196"/>
      <c r="K309" s="196"/>
      <c r="L309" s="198"/>
      <c r="M309" s="188"/>
      <c r="N309" s="198">
        <f>IFERROR(VLOOKUP(A309,'[3]0-LPM'!$A$6:$D$10668,4,0),"")</f>
        <v>2566.6562111111107</v>
      </c>
      <c r="O309" s="190"/>
      <c r="P309" s="208"/>
      <c r="Q309" s="209"/>
    </row>
    <row r="310" spans="1:17" ht="12.2" customHeight="1" x14ac:dyDescent="0.25">
      <c r="A310" s="189" t="s">
        <v>664</v>
      </c>
      <c r="B310" s="207" t="s">
        <v>646</v>
      </c>
      <c r="C310" s="190" t="s">
        <v>665</v>
      </c>
      <c r="D310" s="191">
        <v>8100</v>
      </c>
      <c r="E310" s="192">
        <v>4900</v>
      </c>
      <c r="F310" s="193">
        <f t="shared" si="16"/>
        <v>4020</v>
      </c>
      <c r="G310" s="194">
        <f t="shared" si="17"/>
        <v>4170</v>
      </c>
      <c r="H310" s="195">
        <f t="shared" si="18"/>
        <v>4410</v>
      </c>
      <c r="I310" s="192">
        <f t="shared" si="19"/>
        <v>4660</v>
      </c>
      <c r="J310" s="196"/>
      <c r="K310" s="196"/>
      <c r="L310" s="198"/>
      <c r="M310" s="188"/>
      <c r="N310" s="198">
        <f>IFERROR(VLOOKUP(A310,'[3]0-LPM'!$A$6:$D$10668,4,0),"")</f>
        <v>897.12876861111101</v>
      </c>
      <c r="O310" s="190"/>
      <c r="P310" s="208"/>
      <c r="Q310" s="209"/>
    </row>
    <row r="311" spans="1:17" ht="12.2" customHeight="1" x14ac:dyDescent="0.25">
      <c r="A311" s="189" t="s">
        <v>666</v>
      </c>
      <c r="B311" s="207" t="s">
        <v>646</v>
      </c>
      <c r="C311" s="190" t="s">
        <v>667</v>
      </c>
      <c r="D311" s="191">
        <v>11900</v>
      </c>
      <c r="E311" s="192">
        <v>7100</v>
      </c>
      <c r="F311" s="193">
        <f t="shared" si="16"/>
        <v>5820</v>
      </c>
      <c r="G311" s="194">
        <f t="shared" si="17"/>
        <v>6040</v>
      </c>
      <c r="H311" s="195">
        <f t="shared" si="18"/>
        <v>6390</v>
      </c>
      <c r="I311" s="192">
        <f t="shared" si="19"/>
        <v>6750</v>
      </c>
      <c r="J311" s="196"/>
      <c r="K311" s="196"/>
      <c r="L311" s="198"/>
      <c r="M311" s="188"/>
      <c r="N311" s="198">
        <f>IFERROR(VLOOKUP(A311,'[3]0-LPM'!$A$6:$D$10668,4,0),"")</f>
        <v>0</v>
      </c>
      <c r="O311" s="190"/>
      <c r="P311" s="208"/>
      <c r="Q311" s="209"/>
    </row>
    <row r="312" spans="1:17" ht="12.2" customHeight="1" x14ac:dyDescent="0.25">
      <c r="A312" s="189" t="s">
        <v>668</v>
      </c>
      <c r="B312" s="207" t="s">
        <v>646</v>
      </c>
      <c r="C312" s="190" t="s">
        <v>669</v>
      </c>
      <c r="D312" s="191">
        <v>11200</v>
      </c>
      <c r="E312" s="192">
        <v>6700</v>
      </c>
      <c r="F312" s="193">
        <f t="shared" si="16"/>
        <v>5490</v>
      </c>
      <c r="G312" s="194">
        <f t="shared" si="17"/>
        <v>5700</v>
      </c>
      <c r="H312" s="195">
        <f t="shared" si="18"/>
        <v>6030</v>
      </c>
      <c r="I312" s="192">
        <f t="shared" si="19"/>
        <v>6370</v>
      </c>
      <c r="J312" s="196"/>
      <c r="K312" s="196"/>
      <c r="L312" s="198"/>
      <c r="M312" s="188"/>
      <c r="N312" s="198">
        <f>IFERROR(VLOOKUP(A312,'[3]0-LPM'!$A$6:$D$10668,4,0),"")</f>
        <v>1490.4521333333334</v>
      </c>
      <c r="O312" s="190"/>
      <c r="P312" s="208"/>
      <c r="Q312" s="209"/>
    </row>
    <row r="313" spans="1:17" ht="12.2" customHeight="1" x14ac:dyDescent="0.25">
      <c r="A313" s="189" t="s">
        <v>670</v>
      </c>
      <c r="B313" s="207" t="s">
        <v>646</v>
      </c>
      <c r="C313" s="190" t="s">
        <v>671</v>
      </c>
      <c r="D313" s="191">
        <v>11200</v>
      </c>
      <c r="E313" s="192">
        <v>6700</v>
      </c>
      <c r="F313" s="193">
        <f t="shared" si="16"/>
        <v>5490</v>
      </c>
      <c r="G313" s="194">
        <f t="shared" si="17"/>
        <v>5700</v>
      </c>
      <c r="H313" s="195">
        <f t="shared" si="18"/>
        <v>6030</v>
      </c>
      <c r="I313" s="192">
        <f t="shared" si="19"/>
        <v>6370</v>
      </c>
      <c r="J313" s="196"/>
      <c r="K313" s="196"/>
      <c r="L313" s="198"/>
      <c r="M313" s="188"/>
      <c r="N313" s="198">
        <f>IFERROR(VLOOKUP(A313,'[3]0-LPM'!$A$6:$D$10668,4,0),"")</f>
        <v>2742.3267777777778</v>
      </c>
      <c r="O313" s="190"/>
      <c r="P313" s="208"/>
      <c r="Q313" s="209"/>
    </row>
    <row r="314" spans="1:17" ht="12.2" customHeight="1" x14ac:dyDescent="0.25">
      <c r="A314" s="189" t="s">
        <v>672</v>
      </c>
      <c r="B314" s="207" t="s">
        <v>646</v>
      </c>
      <c r="C314" s="190" t="s">
        <v>673</v>
      </c>
      <c r="D314" s="191">
        <v>11200</v>
      </c>
      <c r="E314" s="192">
        <v>6700</v>
      </c>
      <c r="F314" s="193">
        <f t="shared" si="16"/>
        <v>5490</v>
      </c>
      <c r="G314" s="194">
        <f t="shared" si="17"/>
        <v>5700</v>
      </c>
      <c r="H314" s="195">
        <f t="shared" si="18"/>
        <v>6030</v>
      </c>
      <c r="I314" s="192">
        <f t="shared" si="19"/>
        <v>6370</v>
      </c>
      <c r="J314" s="196"/>
      <c r="K314" s="196"/>
      <c r="L314" s="198"/>
      <c r="M314" s="188"/>
      <c r="N314" s="198" t="str">
        <f>IFERROR(VLOOKUP(A314,'[3]0-LPM'!$A$6:$D$10668,4,0),"")</f>
        <v/>
      </c>
      <c r="O314" s="190"/>
      <c r="P314" s="208"/>
      <c r="Q314" s="209"/>
    </row>
    <row r="315" spans="1:17" ht="12.2" customHeight="1" x14ac:dyDescent="0.25">
      <c r="A315" s="189" t="s">
        <v>674</v>
      </c>
      <c r="B315" s="207" t="s">
        <v>646</v>
      </c>
      <c r="C315" s="190" t="s">
        <v>675</v>
      </c>
      <c r="D315" s="191">
        <v>11200</v>
      </c>
      <c r="E315" s="192">
        <v>6700</v>
      </c>
      <c r="F315" s="193">
        <f t="shared" si="16"/>
        <v>5490</v>
      </c>
      <c r="G315" s="194">
        <f t="shared" si="17"/>
        <v>5700</v>
      </c>
      <c r="H315" s="195">
        <f t="shared" si="18"/>
        <v>6030</v>
      </c>
      <c r="I315" s="192">
        <f t="shared" si="19"/>
        <v>6370</v>
      </c>
      <c r="J315" s="196"/>
      <c r="K315" s="196"/>
      <c r="L315" s="198"/>
      <c r="M315" s="188"/>
      <c r="N315" s="198" t="str">
        <f>IFERROR(VLOOKUP(A315,'[3]0-LPM'!$A$6:$D$10668,4,0),"")</f>
        <v/>
      </c>
      <c r="O315" s="190"/>
      <c r="P315" s="208"/>
      <c r="Q315" s="209"/>
    </row>
    <row r="316" spans="1:17" ht="12.2" customHeight="1" x14ac:dyDescent="0.25">
      <c r="A316" s="189" t="s">
        <v>676</v>
      </c>
      <c r="B316" s="207" t="s">
        <v>646</v>
      </c>
      <c r="C316" s="190" t="s">
        <v>677</v>
      </c>
      <c r="D316" s="191">
        <v>18000</v>
      </c>
      <c r="E316" s="192">
        <v>10800</v>
      </c>
      <c r="F316" s="193">
        <f t="shared" si="16"/>
        <v>8860</v>
      </c>
      <c r="G316" s="194">
        <f t="shared" si="17"/>
        <v>9180</v>
      </c>
      <c r="H316" s="195">
        <f t="shared" si="18"/>
        <v>9720</v>
      </c>
      <c r="I316" s="192">
        <f t="shared" si="19"/>
        <v>10260</v>
      </c>
      <c r="J316" s="196"/>
      <c r="K316" s="196"/>
      <c r="L316" s="198"/>
      <c r="M316" s="188"/>
      <c r="N316" s="198" t="str">
        <f>IFERROR(VLOOKUP(A316,'[3]0-LPM'!$A$6:$D$10668,4,0),"")</f>
        <v/>
      </c>
      <c r="O316" s="190"/>
      <c r="P316" s="208"/>
      <c r="Q316" s="209"/>
    </row>
    <row r="317" spans="1:17" ht="12.2" customHeight="1" x14ac:dyDescent="0.25">
      <c r="A317" s="189" t="s">
        <v>678</v>
      </c>
      <c r="B317" s="207" t="s">
        <v>646</v>
      </c>
      <c r="C317" s="190" t="s">
        <v>679</v>
      </c>
      <c r="D317" s="191"/>
      <c r="E317" s="192">
        <v>3655</v>
      </c>
      <c r="F317" s="193">
        <f t="shared" si="16"/>
        <v>3000</v>
      </c>
      <c r="G317" s="194">
        <f t="shared" si="17"/>
        <v>3110</v>
      </c>
      <c r="H317" s="195">
        <f t="shared" si="18"/>
        <v>3290</v>
      </c>
      <c r="I317" s="192">
        <f t="shared" si="19"/>
        <v>3470</v>
      </c>
      <c r="J317" s="196"/>
      <c r="K317" s="196"/>
      <c r="L317" s="198"/>
      <c r="M317" s="188"/>
      <c r="N317" s="198"/>
      <c r="O317" s="190"/>
      <c r="P317" s="208"/>
      <c r="Q317" s="209"/>
    </row>
    <row r="318" spans="1:17" ht="12.2" customHeight="1" x14ac:dyDescent="0.25">
      <c r="A318" s="204"/>
      <c r="B318" s="205"/>
      <c r="C318" s="206" t="str">
        <f>+B319</f>
        <v>GALLETITAS</v>
      </c>
      <c r="D318" s="191">
        <v>0</v>
      </c>
      <c r="E318" s="192">
        <v>0</v>
      </c>
      <c r="F318" s="193">
        <f t="shared" si="16"/>
        <v>0</v>
      </c>
      <c r="G318" s="194">
        <f t="shared" si="17"/>
        <v>0</v>
      </c>
      <c r="H318" s="195">
        <f t="shared" si="18"/>
        <v>0</v>
      </c>
      <c r="I318" s="192">
        <f t="shared" si="19"/>
        <v>0</v>
      </c>
      <c r="J318" s="196"/>
      <c r="K318" s="196"/>
      <c r="L318" s="198"/>
      <c r="M318" s="188"/>
      <c r="N318" s="198" t="str">
        <f>IFERROR(VLOOKUP(A318,'[3]0-LPM'!$A$6:$D$10668,4,0),"")</f>
        <v/>
      </c>
      <c r="O318" s="206"/>
      <c r="P318" s="208"/>
      <c r="Q318" s="209"/>
    </row>
    <row r="319" spans="1:17" ht="12.2" customHeight="1" x14ac:dyDescent="0.25">
      <c r="A319" s="189" t="s">
        <v>680</v>
      </c>
      <c r="B319" s="207" t="s">
        <v>681</v>
      </c>
      <c r="C319" s="190" t="s">
        <v>682</v>
      </c>
      <c r="D319" s="191">
        <v>32700</v>
      </c>
      <c r="E319" s="192">
        <v>19600</v>
      </c>
      <c r="F319" s="193">
        <f t="shared" si="16"/>
        <v>16070</v>
      </c>
      <c r="G319" s="194">
        <f t="shared" si="17"/>
        <v>16660</v>
      </c>
      <c r="H319" s="195">
        <f t="shared" si="18"/>
        <v>17640</v>
      </c>
      <c r="I319" s="192">
        <f t="shared" si="19"/>
        <v>18620</v>
      </c>
      <c r="J319" s="196"/>
      <c r="K319" s="196"/>
      <c r="L319" s="198"/>
      <c r="M319" s="188"/>
      <c r="N319" s="198">
        <f>IFERROR(VLOOKUP(A319,'[3]0-LPM'!$A$6:$D$10668,4,0),"")</f>
        <v>1023.4616666666666</v>
      </c>
      <c r="O319" s="190"/>
      <c r="P319" s="208"/>
      <c r="Q319" s="209"/>
    </row>
    <row r="320" spans="1:17" ht="12.2" customHeight="1" x14ac:dyDescent="0.25">
      <c r="A320" s="189" t="s">
        <v>683</v>
      </c>
      <c r="B320" s="207" t="s">
        <v>681</v>
      </c>
      <c r="C320" s="190" t="s">
        <v>684</v>
      </c>
      <c r="D320" s="191">
        <v>8100</v>
      </c>
      <c r="E320" s="192">
        <v>4900</v>
      </c>
      <c r="F320" s="193">
        <f t="shared" si="16"/>
        <v>4020</v>
      </c>
      <c r="G320" s="194">
        <f t="shared" si="17"/>
        <v>4170</v>
      </c>
      <c r="H320" s="195">
        <f t="shared" si="18"/>
        <v>4410</v>
      </c>
      <c r="I320" s="192">
        <f t="shared" si="19"/>
        <v>4660</v>
      </c>
      <c r="J320" s="196"/>
      <c r="K320" s="196"/>
      <c r="L320" s="198"/>
      <c r="M320" s="188"/>
      <c r="N320" s="198">
        <f>IFERROR(VLOOKUP(A320,'[3]0-LPM'!$A$6:$D$10668,4,0),"")</f>
        <v>255.86541666666665</v>
      </c>
      <c r="O320" s="190"/>
      <c r="P320" s="208"/>
      <c r="Q320" s="209"/>
    </row>
    <row r="321" spans="1:17" ht="12.2" customHeight="1" x14ac:dyDescent="0.25">
      <c r="A321" s="189" t="s">
        <v>685</v>
      </c>
      <c r="B321" s="207" t="s">
        <v>681</v>
      </c>
      <c r="C321" s="190" t="s">
        <v>686</v>
      </c>
      <c r="D321" s="191">
        <v>38800</v>
      </c>
      <c r="E321" s="192">
        <v>23300</v>
      </c>
      <c r="F321" s="193">
        <f t="shared" si="16"/>
        <v>19110</v>
      </c>
      <c r="G321" s="194">
        <f t="shared" si="17"/>
        <v>19810</v>
      </c>
      <c r="H321" s="195">
        <f t="shared" si="18"/>
        <v>20970</v>
      </c>
      <c r="I321" s="192">
        <f t="shared" si="19"/>
        <v>22140</v>
      </c>
      <c r="J321" s="196"/>
      <c r="K321" s="196"/>
      <c r="L321" s="198"/>
      <c r="M321" s="188"/>
      <c r="N321" s="198">
        <f>IFERROR(VLOOKUP(A321,'[3]0-LPM'!$A$6:$D$10668,4,0),"")</f>
        <v>3621.64</v>
      </c>
      <c r="O321" s="190"/>
      <c r="P321" s="208"/>
      <c r="Q321" s="209"/>
    </row>
    <row r="322" spans="1:17" ht="12.2" customHeight="1" x14ac:dyDescent="0.25">
      <c r="A322" s="189" t="s">
        <v>687</v>
      </c>
      <c r="B322" s="207" t="s">
        <v>681</v>
      </c>
      <c r="C322" s="190" t="s">
        <v>688</v>
      </c>
      <c r="D322" s="191">
        <v>33400</v>
      </c>
      <c r="E322" s="192">
        <v>20100</v>
      </c>
      <c r="F322" s="193">
        <f t="shared" si="16"/>
        <v>16480</v>
      </c>
      <c r="G322" s="194">
        <f t="shared" si="17"/>
        <v>17090</v>
      </c>
      <c r="H322" s="195">
        <f t="shared" si="18"/>
        <v>18090</v>
      </c>
      <c r="I322" s="192">
        <f t="shared" si="19"/>
        <v>19100</v>
      </c>
      <c r="J322" s="196"/>
      <c r="K322" s="196"/>
      <c r="L322" s="198"/>
      <c r="M322" s="188"/>
      <c r="N322" s="198">
        <f>IFERROR(VLOOKUP(A322,'[3]0-LPM'!$A$6:$D$10668,4,0),"")</f>
        <v>2874.6144126984132</v>
      </c>
      <c r="O322" s="190"/>
      <c r="P322" s="208"/>
      <c r="Q322" s="209"/>
    </row>
    <row r="323" spans="1:17" ht="12.2" customHeight="1" x14ac:dyDescent="0.25">
      <c r="A323" s="189" t="s">
        <v>689</v>
      </c>
      <c r="B323" s="207" t="s">
        <v>681</v>
      </c>
      <c r="C323" s="190" t="s">
        <v>690</v>
      </c>
      <c r="D323" s="191">
        <v>33400</v>
      </c>
      <c r="E323" s="192">
        <v>20100</v>
      </c>
      <c r="F323" s="193">
        <f t="shared" si="16"/>
        <v>16480</v>
      </c>
      <c r="G323" s="194">
        <f t="shared" si="17"/>
        <v>17090</v>
      </c>
      <c r="H323" s="195">
        <f t="shared" si="18"/>
        <v>18090</v>
      </c>
      <c r="I323" s="192">
        <f t="shared" si="19"/>
        <v>19100</v>
      </c>
      <c r="J323" s="196"/>
      <c r="K323" s="196"/>
      <c r="L323" s="198"/>
      <c r="M323" s="188"/>
      <c r="N323" s="198">
        <f>IFERROR(VLOOKUP(A323,'[3]0-LPM'!$A$6:$D$10668,4,0),"")</f>
        <v>3437.0929962962964</v>
      </c>
      <c r="O323" s="190"/>
      <c r="P323" s="208"/>
      <c r="Q323" s="209"/>
    </row>
    <row r="324" spans="1:17" ht="12.2" customHeight="1" x14ac:dyDescent="0.25">
      <c r="A324" s="189" t="s">
        <v>691</v>
      </c>
      <c r="B324" s="207" t="s">
        <v>681</v>
      </c>
      <c r="C324" s="190" t="s">
        <v>692</v>
      </c>
      <c r="D324" s="191">
        <v>33400</v>
      </c>
      <c r="E324" s="192">
        <v>20100</v>
      </c>
      <c r="F324" s="193">
        <f t="shared" si="16"/>
        <v>16480</v>
      </c>
      <c r="G324" s="194">
        <f t="shared" si="17"/>
        <v>17090</v>
      </c>
      <c r="H324" s="195">
        <f t="shared" si="18"/>
        <v>18090</v>
      </c>
      <c r="I324" s="192">
        <f t="shared" si="19"/>
        <v>19100</v>
      </c>
      <c r="J324" s="196"/>
      <c r="K324" s="196"/>
      <c r="L324" s="198"/>
      <c r="M324" s="188"/>
      <c r="N324" s="198">
        <f>IFERROR(VLOOKUP(A324,'[3]0-LPM'!$A$6:$D$10668,4,0),"")</f>
        <v>1352.4908730158729</v>
      </c>
      <c r="O324" s="190"/>
      <c r="P324" s="208"/>
      <c r="Q324" s="209"/>
    </row>
    <row r="325" spans="1:17" ht="12.2" customHeight="1" x14ac:dyDescent="0.25">
      <c r="A325" s="189" t="s">
        <v>693</v>
      </c>
      <c r="B325" s="207" t="s">
        <v>681</v>
      </c>
      <c r="C325" s="190" t="s">
        <v>694</v>
      </c>
      <c r="D325" s="191">
        <v>33400</v>
      </c>
      <c r="E325" s="192">
        <v>20100</v>
      </c>
      <c r="F325" s="193">
        <f t="shared" si="16"/>
        <v>16480</v>
      </c>
      <c r="G325" s="194">
        <f t="shared" si="17"/>
        <v>17090</v>
      </c>
      <c r="H325" s="195">
        <f t="shared" si="18"/>
        <v>18090</v>
      </c>
      <c r="I325" s="192">
        <f t="shared" si="19"/>
        <v>19100</v>
      </c>
      <c r="J325" s="196"/>
      <c r="K325" s="196"/>
      <c r="L325" s="198"/>
      <c r="M325" s="188"/>
      <c r="N325" s="198">
        <f>IFERROR(VLOOKUP(A325,'[3]0-LPM'!$A$6:$D$10668,4,0),"")</f>
        <v>662.57832098765425</v>
      </c>
      <c r="O325" s="190"/>
      <c r="P325" s="208"/>
      <c r="Q325" s="209"/>
    </row>
    <row r="326" spans="1:17" ht="12.2" customHeight="1" x14ac:dyDescent="0.25">
      <c r="A326" s="189" t="s">
        <v>695</v>
      </c>
      <c r="B326" s="207" t="s">
        <v>681</v>
      </c>
      <c r="C326" s="190" t="s">
        <v>696</v>
      </c>
      <c r="D326" s="191">
        <v>33400</v>
      </c>
      <c r="E326" s="192">
        <v>20100</v>
      </c>
      <c r="F326" s="193">
        <f t="shared" si="16"/>
        <v>16480</v>
      </c>
      <c r="G326" s="194">
        <f t="shared" si="17"/>
        <v>17090</v>
      </c>
      <c r="H326" s="195">
        <f t="shared" si="18"/>
        <v>18090</v>
      </c>
      <c r="I326" s="192">
        <f t="shared" si="19"/>
        <v>19100</v>
      </c>
      <c r="J326" s="196"/>
      <c r="K326" s="196"/>
      <c r="L326" s="198"/>
      <c r="M326" s="188"/>
      <c r="N326" s="198">
        <f>IFERROR(VLOOKUP(A326,'[3]0-LPM'!$A$6:$D$10668,4,0),"")</f>
        <v>3688.2756178026775</v>
      </c>
      <c r="O326" s="190"/>
      <c r="P326" s="208"/>
      <c r="Q326" s="209"/>
    </row>
    <row r="327" spans="1:17" ht="12.2" customHeight="1" x14ac:dyDescent="0.25">
      <c r="A327" s="189" t="s">
        <v>697</v>
      </c>
      <c r="B327" s="207" t="s">
        <v>681</v>
      </c>
      <c r="C327" s="190" t="s">
        <v>698</v>
      </c>
      <c r="D327" s="191">
        <v>33400</v>
      </c>
      <c r="E327" s="192">
        <v>20100</v>
      </c>
      <c r="F327" s="193">
        <f t="shared" si="16"/>
        <v>16480</v>
      </c>
      <c r="G327" s="194">
        <f t="shared" si="17"/>
        <v>17090</v>
      </c>
      <c r="H327" s="195">
        <f t="shared" si="18"/>
        <v>18090</v>
      </c>
      <c r="I327" s="192">
        <f t="shared" si="19"/>
        <v>19100</v>
      </c>
      <c r="J327" s="196"/>
      <c r="K327" s="196"/>
      <c r="L327" s="198"/>
      <c r="M327" s="188"/>
      <c r="N327" s="198">
        <f>IFERROR(VLOOKUP(A327,'[3]0-LPM'!$A$6:$D$10668,4,0),"")</f>
        <v>3223.3698571428572</v>
      </c>
      <c r="O327" s="190"/>
      <c r="P327" s="208"/>
      <c r="Q327" s="209"/>
    </row>
    <row r="328" spans="1:17" ht="12.2" customHeight="1" x14ac:dyDescent="0.25">
      <c r="A328" s="189" t="s">
        <v>699</v>
      </c>
      <c r="B328" s="207" t="s">
        <v>681</v>
      </c>
      <c r="C328" s="190" t="s">
        <v>700</v>
      </c>
      <c r="D328" s="191">
        <v>33400</v>
      </c>
      <c r="E328" s="192">
        <v>20100</v>
      </c>
      <c r="F328" s="193">
        <f t="shared" si="16"/>
        <v>16480</v>
      </c>
      <c r="G328" s="194">
        <f t="shared" si="17"/>
        <v>17090</v>
      </c>
      <c r="H328" s="195">
        <f t="shared" si="18"/>
        <v>18090</v>
      </c>
      <c r="I328" s="192">
        <f t="shared" si="19"/>
        <v>19100</v>
      </c>
      <c r="J328" s="196"/>
      <c r="K328" s="196"/>
      <c r="L328" s="198"/>
      <c r="M328" s="188"/>
      <c r="N328" s="198" t="str">
        <f>IFERROR(VLOOKUP(A328,'[3]0-LPM'!$A$6:$D$10668,4,0),"")</f>
        <v/>
      </c>
      <c r="O328" s="190"/>
      <c r="P328" s="208"/>
      <c r="Q328" s="209"/>
    </row>
    <row r="329" spans="1:17" ht="12.2" customHeight="1" x14ac:dyDescent="0.25">
      <c r="A329" s="189" t="s">
        <v>701</v>
      </c>
      <c r="B329" s="207" t="s">
        <v>681</v>
      </c>
      <c r="C329" s="190" t="s">
        <v>702</v>
      </c>
      <c r="D329" s="191">
        <v>33400</v>
      </c>
      <c r="E329" s="192">
        <v>20100</v>
      </c>
      <c r="F329" s="193">
        <f t="shared" si="16"/>
        <v>16480</v>
      </c>
      <c r="G329" s="194">
        <f t="shared" si="17"/>
        <v>17090</v>
      </c>
      <c r="H329" s="195">
        <f t="shared" si="18"/>
        <v>18090</v>
      </c>
      <c r="I329" s="192">
        <f t="shared" si="19"/>
        <v>19100</v>
      </c>
      <c r="J329" s="196"/>
      <c r="K329" s="196"/>
      <c r="L329" s="198"/>
      <c r="M329" s="188"/>
      <c r="N329" s="198">
        <f>IFERROR(VLOOKUP(A329,'[3]0-LPM'!$A$6:$D$10668,4,0),"")</f>
        <v>6490.9700529100537</v>
      </c>
      <c r="O329" s="190"/>
      <c r="P329" s="208"/>
      <c r="Q329" s="209"/>
    </row>
    <row r="330" spans="1:17" ht="12.2" customHeight="1" x14ac:dyDescent="0.25">
      <c r="A330" s="189" t="s">
        <v>703</v>
      </c>
      <c r="B330" s="207" t="s">
        <v>681</v>
      </c>
      <c r="C330" s="190" t="s">
        <v>704</v>
      </c>
      <c r="D330" s="191">
        <v>33400</v>
      </c>
      <c r="E330" s="192">
        <v>20100</v>
      </c>
      <c r="F330" s="193">
        <f t="shared" si="16"/>
        <v>16480</v>
      </c>
      <c r="G330" s="194">
        <f t="shared" si="17"/>
        <v>17090</v>
      </c>
      <c r="H330" s="195">
        <f t="shared" si="18"/>
        <v>18090</v>
      </c>
      <c r="I330" s="192">
        <f t="shared" si="19"/>
        <v>19100</v>
      </c>
      <c r="J330" s="196"/>
      <c r="K330" s="196"/>
      <c r="L330" s="198"/>
      <c r="M330" s="188"/>
      <c r="N330" s="198">
        <f>IFERROR(VLOOKUP(A330,'[3]0-LPM'!$A$6:$D$10668,4,0),"")</f>
        <v>6467.3765432098771</v>
      </c>
      <c r="O330" s="190"/>
      <c r="P330" s="208"/>
      <c r="Q330" s="209"/>
    </row>
    <row r="331" spans="1:17" ht="12.2" customHeight="1" x14ac:dyDescent="0.25">
      <c r="A331" s="189" t="s">
        <v>705</v>
      </c>
      <c r="B331" s="207" t="s">
        <v>681</v>
      </c>
      <c r="C331" s="190" t="s">
        <v>706</v>
      </c>
      <c r="D331" s="191">
        <v>33400</v>
      </c>
      <c r="E331" s="192">
        <v>20100</v>
      </c>
      <c r="F331" s="193">
        <f t="shared" si="16"/>
        <v>16480</v>
      </c>
      <c r="G331" s="194">
        <f t="shared" si="17"/>
        <v>17090</v>
      </c>
      <c r="H331" s="195">
        <f t="shared" si="18"/>
        <v>18090</v>
      </c>
      <c r="I331" s="192">
        <f t="shared" si="19"/>
        <v>19100</v>
      </c>
      <c r="J331" s="196"/>
      <c r="K331" s="196"/>
      <c r="L331" s="198"/>
      <c r="M331" s="188"/>
      <c r="N331" s="198">
        <f>IFERROR(VLOOKUP(A331,'[3]0-LPM'!$A$6:$D$10668,4,0),"")</f>
        <v>6118.9846560846563</v>
      </c>
      <c r="O331" s="190"/>
      <c r="P331" s="208"/>
      <c r="Q331" s="209"/>
    </row>
    <row r="332" spans="1:17" ht="12.2" customHeight="1" x14ac:dyDescent="0.25">
      <c r="A332" s="189" t="s">
        <v>707</v>
      </c>
      <c r="B332" s="207" t="s">
        <v>681</v>
      </c>
      <c r="C332" s="190" t="s">
        <v>708</v>
      </c>
      <c r="D332" s="191">
        <v>33400</v>
      </c>
      <c r="E332" s="192">
        <v>20100</v>
      </c>
      <c r="F332" s="193">
        <f t="shared" si="16"/>
        <v>16480</v>
      </c>
      <c r="G332" s="194">
        <f t="shared" si="17"/>
        <v>17090</v>
      </c>
      <c r="H332" s="195">
        <f t="shared" si="18"/>
        <v>18090</v>
      </c>
      <c r="I332" s="192">
        <f t="shared" si="19"/>
        <v>19100</v>
      </c>
      <c r="J332" s="196"/>
      <c r="K332" s="196"/>
      <c r="L332" s="198"/>
      <c r="M332" s="188"/>
      <c r="N332" s="198">
        <f>IFERROR(VLOOKUP(A332,'[3]0-LPM'!$A$6:$D$10668,4,0),"")</f>
        <v>7655.4513227513235</v>
      </c>
      <c r="O332" s="190"/>
      <c r="P332" s="208"/>
      <c r="Q332" s="209"/>
    </row>
    <row r="333" spans="1:17" ht="12.2" customHeight="1" x14ac:dyDescent="0.25">
      <c r="A333" s="189" t="s">
        <v>709</v>
      </c>
      <c r="B333" s="207" t="s">
        <v>681</v>
      </c>
      <c r="C333" s="190" t="s">
        <v>710</v>
      </c>
      <c r="D333" s="191">
        <v>33400</v>
      </c>
      <c r="E333" s="192">
        <v>20100</v>
      </c>
      <c r="F333" s="193">
        <f t="shared" si="16"/>
        <v>16480</v>
      </c>
      <c r="G333" s="194">
        <f t="shared" si="17"/>
        <v>17090</v>
      </c>
      <c r="H333" s="195">
        <f t="shared" si="18"/>
        <v>18090</v>
      </c>
      <c r="I333" s="192">
        <f t="shared" si="19"/>
        <v>19100</v>
      </c>
      <c r="J333" s="196"/>
      <c r="K333" s="196"/>
      <c r="L333" s="198"/>
      <c r="M333" s="188"/>
      <c r="N333" s="198">
        <f>IFERROR(VLOOKUP(A333,'[3]0-LPM'!$A$6:$D$10668,4,0),"")</f>
        <v>959.49531249999995</v>
      </c>
      <c r="O333" s="190"/>
      <c r="P333" s="208"/>
      <c r="Q333" s="209"/>
    </row>
    <row r="334" spans="1:17" ht="12.2" customHeight="1" x14ac:dyDescent="0.25">
      <c r="A334" s="189" t="s">
        <v>711</v>
      </c>
      <c r="B334" s="207" t="s">
        <v>681</v>
      </c>
      <c r="C334" s="190" t="s">
        <v>712</v>
      </c>
      <c r="D334" s="191">
        <v>33400</v>
      </c>
      <c r="E334" s="192">
        <v>20100</v>
      </c>
      <c r="F334" s="193">
        <f t="shared" si="16"/>
        <v>16480</v>
      </c>
      <c r="G334" s="194">
        <f t="shared" si="17"/>
        <v>17090</v>
      </c>
      <c r="H334" s="195">
        <f t="shared" si="18"/>
        <v>18090</v>
      </c>
      <c r="I334" s="192">
        <f t="shared" si="19"/>
        <v>19100</v>
      </c>
      <c r="J334" s="196"/>
      <c r="K334" s="196"/>
      <c r="L334" s="198"/>
      <c r="M334" s="188"/>
      <c r="N334" s="198">
        <f>IFERROR(VLOOKUP(A334,'[3]0-LPM'!$A$6:$D$10668,4,0),"")</f>
        <v>1023.4616666666666</v>
      </c>
      <c r="O334" s="190"/>
      <c r="P334" s="208"/>
      <c r="Q334" s="209"/>
    </row>
    <row r="335" spans="1:17" ht="12.2" customHeight="1" x14ac:dyDescent="0.25">
      <c r="A335" s="189" t="s">
        <v>713</v>
      </c>
      <c r="B335" s="207" t="s">
        <v>681</v>
      </c>
      <c r="C335" s="190" t="s">
        <v>714</v>
      </c>
      <c r="D335" s="191">
        <v>33400</v>
      </c>
      <c r="E335" s="192">
        <v>20100</v>
      </c>
      <c r="F335" s="193">
        <f t="shared" si="16"/>
        <v>16480</v>
      </c>
      <c r="G335" s="194">
        <f t="shared" si="17"/>
        <v>17090</v>
      </c>
      <c r="H335" s="195">
        <f t="shared" si="18"/>
        <v>18090</v>
      </c>
      <c r="I335" s="192">
        <f t="shared" si="19"/>
        <v>19100</v>
      </c>
      <c r="J335" s="196"/>
      <c r="K335" s="196"/>
      <c r="L335" s="198"/>
      <c r="M335" s="188"/>
      <c r="N335" s="198" t="str">
        <f>IFERROR(VLOOKUP(A335,'[3]0-LPM'!$A$6:$D$10668,4,0),"")</f>
        <v/>
      </c>
      <c r="O335" s="190"/>
      <c r="P335" s="208"/>
      <c r="Q335" s="209"/>
    </row>
    <row r="336" spans="1:17" ht="12.2" customHeight="1" x14ac:dyDescent="0.25">
      <c r="A336" s="189" t="s">
        <v>715</v>
      </c>
      <c r="B336" s="207" t="s">
        <v>681</v>
      </c>
      <c r="C336" s="190" t="s">
        <v>716</v>
      </c>
      <c r="D336" s="191">
        <v>33400</v>
      </c>
      <c r="E336" s="192">
        <v>20100</v>
      </c>
      <c r="F336" s="193">
        <f t="shared" si="16"/>
        <v>16480</v>
      </c>
      <c r="G336" s="194">
        <f t="shared" si="17"/>
        <v>17090</v>
      </c>
      <c r="H336" s="195">
        <f t="shared" si="18"/>
        <v>18090</v>
      </c>
      <c r="I336" s="192">
        <f t="shared" si="19"/>
        <v>19100</v>
      </c>
      <c r="J336" s="196"/>
      <c r="K336" s="196"/>
      <c r="L336" s="198"/>
      <c r="M336" s="188"/>
      <c r="N336" s="198"/>
      <c r="O336" s="190"/>
      <c r="P336" s="208"/>
      <c r="Q336" s="209"/>
    </row>
    <row r="337" spans="1:17" ht="12.2" customHeight="1" x14ac:dyDescent="0.25">
      <c r="A337" s="204"/>
      <c r="B337" s="205"/>
      <c r="C337" s="206" t="s">
        <v>717</v>
      </c>
      <c r="D337" s="191">
        <v>0</v>
      </c>
      <c r="E337" s="192">
        <v>0</v>
      </c>
      <c r="F337" s="193">
        <f t="shared" si="16"/>
        <v>0</v>
      </c>
      <c r="G337" s="194">
        <f t="shared" si="17"/>
        <v>0</v>
      </c>
      <c r="H337" s="195">
        <f t="shared" si="18"/>
        <v>0</v>
      </c>
      <c r="I337" s="192">
        <f t="shared" si="19"/>
        <v>0</v>
      </c>
      <c r="J337" s="196"/>
      <c r="K337" s="196"/>
      <c r="L337" s="198"/>
      <c r="M337" s="188"/>
      <c r="N337" s="198" t="str">
        <f>IFERROR(VLOOKUP(A337,'[3]0-LPM'!$A$6:$D$10668,4,0),"")</f>
        <v/>
      </c>
      <c r="O337" s="206"/>
      <c r="P337" s="208"/>
      <c r="Q337" s="209"/>
    </row>
    <row r="338" spans="1:17" ht="12.2" customHeight="1" x14ac:dyDescent="0.25">
      <c r="A338" s="189" t="s">
        <v>718</v>
      </c>
      <c r="B338" s="207" t="s">
        <v>719</v>
      </c>
      <c r="C338" s="190" t="s">
        <v>720</v>
      </c>
      <c r="D338" s="191">
        <v>5600</v>
      </c>
      <c r="E338" s="192">
        <v>3400</v>
      </c>
      <c r="F338" s="193">
        <f t="shared" si="16"/>
        <v>2790</v>
      </c>
      <c r="G338" s="194">
        <f t="shared" si="17"/>
        <v>2890</v>
      </c>
      <c r="H338" s="195">
        <f t="shared" si="18"/>
        <v>3060</v>
      </c>
      <c r="I338" s="192">
        <f t="shared" si="19"/>
        <v>3230</v>
      </c>
      <c r="J338" s="196"/>
      <c r="K338" s="196"/>
      <c r="L338" s="198"/>
      <c r="M338" s="188"/>
      <c r="N338" s="198">
        <f>IFERROR(VLOOKUP(A338,'[3]0-LPM'!$A$6:$D$10668,4,0),"")</f>
        <v>0</v>
      </c>
      <c r="O338" s="190"/>
      <c r="P338" s="208"/>
      <c r="Q338" s="209"/>
    </row>
    <row r="339" spans="1:17" ht="12.2" customHeight="1" x14ac:dyDescent="0.25">
      <c r="A339" s="189" t="s">
        <v>721</v>
      </c>
      <c r="B339" s="207" t="s">
        <v>719</v>
      </c>
      <c r="C339" s="190" t="s">
        <v>722</v>
      </c>
      <c r="D339" s="191">
        <v>7400</v>
      </c>
      <c r="E339" s="192">
        <v>4400</v>
      </c>
      <c r="F339" s="193">
        <f t="shared" si="16"/>
        <v>3610</v>
      </c>
      <c r="G339" s="194">
        <f t="shared" si="17"/>
        <v>3740</v>
      </c>
      <c r="H339" s="195">
        <f t="shared" si="18"/>
        <v>3960</v>
      </c>
      <c r="I339" s="192">
        <f t="shared" si="19"/>
        <v>4180</v>
      </c>
      <c r="J339" s="196"/>
      <c r="K339" s="196"/>
      <c r="L339" s="198"/>
      <c r="M339" s="188"/>
      <c r="N339" s="198">
        <f>IFERROR(VLOOKUP(A339,'[3]0-LPM'!$A$6:$D$10668,4,0),"")</f>
        <v>0</v>
      </c>
      <c r="O339" s="190"/>
      <c r="P339" s="208"/>
      <c r="Q339" s="209"/>
    </row>
    <row r="340" spans="1:17" ht="12.2" customHeight="1" x14ac:dyDescent="0.25">
      <c r="A340" s="189" t="s">
        <v>723</v>
      </c>
      <c r="B340" s="207" t="s">
        <v>719</v>
      </c>
      <c r="C340" s="190" t="s">
        <v>710</v>
      </c>
      <c r="D340" s="191">
        <v>5600</v>
      </c>
      <c r="E340" s="192">
        <v>3400</v>
      </c>
      <c r="F340" s="193">
        <f t="shared" si="16"/>
        <v>2790</v>
      </c>
      <c r="G340" s="194">
        <f t="shared" si="17"/>
        <v>2890</v>
      </c>
      <c r="H340" s="195">
        <f t="shared" si="18"/>
        <v>3060</v>
      </c>
      <c r="I340" s="192">
        <f t="shared" si="19"/>
        <v>3230</v>
      </c>
      <c r="J340" s="196"/>
      <c r="K340" s="196"/>
      <c r="L340" s="198"/>
      <c r="M340" s="188"/>
      <c r="N340" s="198">
        <f>IFERROR(VLOOKUP(A340,'[3]0-LPM'!$A$6:$D$10668,4,0),"")</f>
        <v>0</v>
      </c>
      <c r="O340" s="190"/>
      <c r="P340" s="208"/>
      <c r="Q340" s="209"/>
    </row>
    <row r="341" spans="1:17" ht="12.2" customHeight="1" x14ac:dyDescent="0.25">
      <c r="A341" s="189" t="s">
        <v>724</v>
      </c>
      <c r="B341" s="207" t="s">
        <v>719</v>
      </c>
      <c r="C341" s="190" t="s">
        <v>725</v>
      </c>
      <c r="D341" s="191">
        <v>7400</v>
      </c>
      <c r="E341" s="192">
        <v>4400</v>
      </c>
      <c r="F341" s="193">
        <f t="shared" si="16"/>
        <v>3610</v>
      </c>
      <c r="G341" s="194">
        <f t="shared" si="17"/>
        <v>3740</v>
      </c>
      <c r="H341" s="195">
        <f t="shared" si="18"/>
        <v>3960</v>
      </c>
      <c r="I341" s="192">
        <f t="shared" si="19"/>
        <v>4180</v>
      </c>
      <c r="J341" s="196"/>
      <c r="K341" s="196"/>
      <c r="L341" s="198"/>
      <c r="M341" s="188"/>
      <c r="N341" s="198">
        <f>IFERROR(VLOOKUP(A341,'[3]0-LPM'!$A$6:$D$10668,4,0),"")</f>
        <v>2304.6639323671498</v>
      </c>
      <c r="O341" s="190"/>
      <c r="P341" s="208"/>
      <c r="Q341" s="209"/>
    </row>
    <row r="342" spans="1:17" ht="12.2" customHeight="1" x14ac:dyDescent="0.25">
      <c r="A342" s="189" t="s">
        <v>726</v>
      </c>
      <c r="B342" s="207" t="s">
        <v>719</v>
      </c>
      <c r="C342" s="190" t="s">
        <v>727</v>
      </c>
      <c r="D342" s="191">
        <v>7400</v>
      </c>
      <c r="E342" s="192">
        <v>4400</v>
      </c>
      <c r="F342" s="193">
        <f t="shared" si="16"/>
        <v>3610</v>
      </c>
      <c r="G342" s="194">
        <f t="shared" si="17"/>
        <v>3740</v>
      </c>
      <c r="H342" s="195">
        <f t="shared" si="18"/>
        <v>3960</v>
      </c>
      <c r="I342" s="192">
        <f t="shared" si="19"/>
        <v>4180</v>
      </c>
      <c r="J342" s="196"/>
      <c r="K342" s="196"/>
      <c r="L342" s="198"/>
      <c r="M342" s="188"/>
      <c r="N342" s="198">
        <f>IFERROR(VLOOKUP(A342,'[3]0-LPM'!$A$6:$D$10668,4,0),"")</f>
        <v>0</v>
      </c>
      <c r="O342" s="190"/>
      <c r="P342" s="208"/>
      <c r="Q342" s="209"/>
    </row>
    <row r="343" spans="1:17" ht="12.2" customHeight="1" x14ac:dyDescent="0.25">
      <c r="A343" s="189" t="s">
        <v>728</v>
      </c>
      <c r="B343" s="207" t="s">
        <v>719</v>
      </c>
      <c r="C343" s="190" t="s">
        <v>729</v>
      </c>
      <c r="D343" s="191">
        <v>7400</v>
      </c>
      <c r="E343" s="192">
        <v>4400</v>
      </c>
      <c r="F343" s="193">
        <f t="shared" si="16"/>
        <v>3610</v>
      </c>
      <c r="G343" s="194">
        <f t="shared" si="17"/>
        <v>3740</v>
      </c>
      <c r="H343" s="195">
        <f t="shared" si="18"/>
        <v>3960</v>
      </c>
      <c r="I343" s="192">
        <f t="shared" si="19"/>
        <v>4180</v>
      </c>
      <c r="J343" s="196"/>
      <c r="K343" s="196"/>
      <c r="L343" s="198"/>
      <c r="M343" s="188"/>
      <c r="N343" s="198">
        <f>IFERROR(VLOOKUP(A343,'[3]0-LPM'!$A$6:$D$10668,4,0),"")</f>
        <v>0</v>
      </c>
      <c r="O343" s="190"/>
      <c r="P343" s="208"/>
      <c r="Q343" s="209"/>
    </row>
    <row r="344" spans="1:17" ht="12.2" customHeight="1" x14ac:dyDescent="0.25">
      <c r="A344" s="189" t="s">
        <v>730</v>
      </c>
      <c r="B344" s="207" t="s">
        <v>719</v>
      </c>
      <c r="C344" s="190" t="s">
        <v>731</v>
      </c>
      <c r="D344" s="191">
        <v>7400</v>
      </c>
      <c r="E344" s="192">
        <v>4400</v>
      </c>
      <c r="F344" s="193">
        <f t="shared" si="16"/>
        <v>3610</v>
      </c>
      <c r="G344" s="194">
        <f t="shared" si="17"/>
        <v>3740</v>
      </c>
      <c r="H344" s="195">
        <f t="shared" si="18"/>
        <v>3960</v>
      </c>
      <c r="I344" s="192">
        <f t="shared" si="19"/>
        <v>4180</v>
      </c>
      <c r="J344" s="196"/>
      <c r="K344" s="196"/>
      <c r="L344" s="198"/>
      <c r="M344" s="188"/>
      <c r="N344" s="198">
        <f>IFERROR(VLOOKUP(A344,'[3]0-LPM'!$A$6:$D$10668,4,0),"")</f>
        <v>0</v>
      </c>
      <c r="O344" s="190"/>
      <c r="P344" s="208"/>
      <c r="Q344" s="209"/>
    </row>
    <row r="345" spans="1:17" ht="12.2" customHeight="1" x14ac:dyDescent="0.25">
      <c r="A345" s="189" t="s">
        <v>732</v>
      </c>
      <c r="B345" s="207" t="s">
        <v>719</v>
      </c>
      <c r="C345" s="190" t="s">
        <v>498</v>
      </c>
      <c r="D345" s="191">
        <v>7400</v>
      </c>
      <c r="E345" s="192">
        <v>4400</v>
      </c>
      <c r="F345" s="193">
        <f t="shared" si="16"/>
        <v>3610</v>
      </c>
      <c r="G345" s="194">
        <f t="shared" si="17"/>
        <v>3740</v>
      </c>
      <c r="H345" s="195">
        <f t="shared" si="18"/>
        <v>3960</v>
      </c>
      <c r="I345" s="192">
        <f t="shared" si="19"/>
        <v>4180</v>
      </c>
      <c r="J345" s="196"/>
      <c r="K345" s="196"/>
      <c r="L345" s="198"/>
      <c r="M345" s="188"/>
      <c r="N345" s="198">
        <f>IFERROR(VLOOKUP(A345,'[3]0-LPM'!$A$6:$D$10668,4,0),"")</f>
        <v>0</v>
      </c>
      <c r="O345" s="190"/>
      <c r="P345" s="208"/>
      <c r="Q345" s="209"/>
    </row>
    <row r="346" spans="1:17" ht="12.2" customHeight="1" x14ac:dyDescent="0.25">
      <c r="A346" s="189" t="s">
        <v>733</v>
      </c>
      <c r="B346" s="207" t="s">
        <v>719</v>
      </c>
      <c r="C346" s="190" t="s">
        <v>734</v>
      </c>
      <c r="D346" s="191">
        <v>7400</v>
      </c>
      <c r="E346" s="192">
        <v>4400</v>
      </c>
      <c r="F346" s="193">
        <f t="shared" si="16"/>
        <v>3610</v>
      </c>
      <c r="G346" s="194">
        <f t="shared" si="17"/>
        <v>3740</v>
      </c>
      <c r="H346" s="195">
        <f t="shared" si="18"/>
        <v>3960</v>
      </c>
      <c r="I346" s="192">
        <f t="shared" si="19"/>
        <v>4180</v>
      </c>
      <c r="J346" s="196"/>
      <c r="K346" s="196"/>
      <c r="L346" s="198"/>
      <c r="M346" s="188"/>
      <c r="N346" s="198">
        <f>IFERROR(VLOOKUP(A346,'[3]0-LPM'!$A$6:$D$10668,4,0),"")</f>
        <v>553.11934376811587</v>
      </c>
      <c r="O346" s="190"/>
      <c r="P346" s="208"/>
      <c r="Q346" s="209"/>
    </row>
    <row r="347" spans="1:17" ht="12.2" customHeight="1" x14ac:dyDescent="0.25">
      <c r="A347" s="189" t="s">
        <v>735</v>
      </c>
      <c r="B347" s="207" t="s">
        <v>719</v>
      </c>
      <c r="C347" s="190" t="s">
        <v>736</v>
      </c>
      <c r="D347" s="191">
        <v>7400</v>
      </c>
      <c r="E347" s="192">
        <v>4400</v>
      </c>
      <c r="F347" s="193">
        <f t="shared" si="16"/>
        <v>3610</v>
      </c>
      <c r="G347" s="194">
        <f t="shared" si="17"/>
        <v>3740</v>
      </c>
      <c r="H347" s="195">
        <f t="shared" si="18"/>
        <v>3960</v>
      </c>
      <c r="I347" s="192">
        <f t="shared" si="19"/>
        <v>4180</v>
      </c>
      <c r="J347" s="196"/>
      <c r="K347" s="196"/>
      <c r="L347" s="198"/>
      <c r="M347" s="188"/>
      <c r="N347" s="198">
        <f>IFERROR(VLOOKUP(A347,'[3]0-LPM'!$A$6:$D$10668,4,0),"")</f>
        <v>0</v>
      </c>
      <c r="O347" s="190"/>
      <c r="P347" s="208"/>
      <c r="Q347" s="209"/>
    </row>
    <row r="348" spans="1:17" ht="12.2" customHeight="1" x14ac:dyDescent="0.25">
      <c r="A348" s="189" t="s">
        <v>737</v>
      </c>
      <c r="B348" s="207" t="s">
        <v>719</v>
      </c>
      <c r="C348" s="190" t="s">
        <v>738</v>
      </c>
      <c r="D348" s="191">
        <v>60900</v>
      </c>
      <c r="E348" s="192">
        <v>36600</v>
      </c>
      <c r="F348" s="193">
        <f t="shared" si="16"/>
        <v>30010</v>
      </c>
      <c r="G348" s="194">
        <f t="shared" si="17"/>
        <v>31110</v>
      </c>
      <c r="H348" s="195">
        <f t="shared" si="18"/>
        <v>32940</v>
      </c>
      <c r="I348" s="192">
        <f t="shared" si="19"/>
        <v>34770</v>
      </c>
      <c r="J348" s="196"/>
      <c r="K348" s="196"/>
      <c r="L348" s="198"/>
      <c r="M348" s="188"/>
      <c r="N348" s="198">
        <f>IFERROR(VLOOKUP(A348,'[3]0-LPM'!$A$6:$D$10668,4,0),"")</f>
        <v>5378.3487278156599</v>
      </c>
      <c r="O348" s="190"/>
      <c r="P348" s="208"/>
      <c r="Q348" s="209"/>
    </row>
    <row r="349" spans="1:17" ht="12.2" customHeight="1" x14ac:dyDescent="0.25">
      <c r="A349" s="189" t="s">
        <v>739</v>
      </c>
      <c r="B349" s="207" t="s">
        <v>719</v>
      </c>
      <c r="C349" s="190" t="s">
        <v>740</v>
      </c>
      <c r="D349" s="191">
        <v>7400</v>
      </c>
      <c r="E349" s="192">
        <v>4400</v>
      </c>
      <c r="F349" s="193">
        <f t="shared" ref="F349:F412" si="20">+ROUND(E349-H349*F$1,-1)</f>
        <v>3610</v>
      </c>
      <c r="G349" s="194">
        <f t="shared" ref="G349:G412" si="21">+ROUND(E349-E349*G$1,-1)</f>
        <v>3740</v>
      </c>
      <c r="H349" s="195">
        <f t="shared" ref="H349:H412" si="22">+ROUND(E349-E349*H$1,-1)</f>
        <v>3960</v>
      </c>
      <c r="I349" s="192">
        <f t="shared" ref="I349:I412" si="23">+ROUND(E349-E349*I$1,-1)</f>
        <v>4180</v>
      </c>
      <c r="J349" s="196"/>
      <c r="K349" s="196"/>
      <c r="L349" s="198"/>
      <c r="M349" s="188"/>
      <c r="N349" s="198">
        <f>IFERROR(VLOOKUP(A349,'[3]0-LPM'!$A$6:$D$10668,4,0),"")</f>
        <v>0</v>
      </c>
      <c r="O349" s="190"/>
      <c r="P349" s="208"/>
      <c r="Q349" s="209"/>
    </row>
    <row r="350" spans="1:17" ht="12.2" customHeight="1" x14ac:dyDescent="0.25">
      <c r="A350" s="189" t="s">
        <v>741</v>
      </c>
      <c r="B350" s="207" t="s">
        <v>719</v>
      </c>
      <c r="C350" s="190" t="s">
        <v>742</v>
      </c>
      <c r="D350" s="191">
        <v>9100</v>
      </c>
      <c r="E350" s="192">
        <v>5500</v>
      </c>
      <c r="F350" s="193">
        <f t="shared" si="20"/>
        <v>4510</v>
      </c>
      <c r="G350" s="194">
        <f t="shared" si="21"/>
        <v>4680</v>
      </c>
      <c r="H350" s="195">
        <f t="shared" si="22"/>
        <v>4950</v>
      </c>
      <c r="I350" s="192">
        <f t="shared" si="23"/>
        <v>5230</v>
      </c>
      <c r="J350" s="196"/>
      <c r="K350" s="196"/>
      <c r="L350" s="198"/>
      <c r="M350" s="188"/>
      <c r="N350" s="198" t="str">
        <f>IFERROR(VLOOKUP(A350,'[3]0-LPM'!$A$6:$D$10668,4,0),"")</f>
        <v/>
      </c>
      <c r="O350" s="190"/>
      <c r="P350" s="208"/>
      <c r="Q350" s="209"/>
    </row>
    <row r="351" spans="1:17" ht="12.2" customHeight="1" x14ac:dyDescent="0.25">
      <c r="A351" s="189" t="s">
        <v>743</v>
      </c>
      <c r="B351" s="207" t="s">
        <v>719</v>
      </c>
      <c r="C351" s="190" t="s">
        <v>744</v>
      </c>
      <c r="D351" s="191">
        <v>7600</v>
      </c>
      <c r="E351" s="192">
        <v>4600</v>
      </c>
      <c r="F351" s="193">
        <v>6000</v>
      </c>
      <c r="G351" s="194">
        <v>6000</v>
      </c>
      <c r="H351" s="195">
        <f t="shared" si="22"/>
        <v>4140</v>
      </c>
      <c r="I351" s="192">
        <f t="shared" si="23"/>
        <v>4370</v>
      </c>
      <c r="J351" s="196"/>
      <c r="K351" s="196"/>
      <c r="L351" s="198"/>
      <c r="M351" s="188"/>
      <c r="N351" s="198" t="str">
        <f>IFERROR(VLOOKUP(A351,'[3]0-LPM'!$A$6:$D$10668,4,0),"")</f>
        <v/>
      </c>
      <c r="O351" s="190"/>
      <c r="P351" s="208"/>
      <c r="Q351" s="209"/>
    </row>
    <row r="352" spans="1:17" ht="12.2" customHeight="1" x14ac:dyDescent="0.25">
      <c r="A352" s="204"/>
      <c r="B352" s="205"/>
      <c r="C352" s="206" t="s">
        <v>745</v>
      </c>
      <c r="D352" s="191">
        <v>0</v>
      </c>
      <c r="E352" s="192">
        <v>0</v>
      </c>
      <c r="F352" s="193">
        <f t="shared" si="20"/>
        <v>0</v>
      </c>
      <c r="G352" s="194">
        <f t="shared" si="21"/>
        <v>0</v>
      </c>
      <c r="H352" s="195">
        <f t="shared" si="22"/>
        <v>0</v>
      </c>
      <c r="I352" s="192">
        <f t="shared" si="23"/>
        <v>0</v>
      </c>
      <c r="J352" s="196"/>
      <c r="K352" s="196"/>
      <c r="L352" s="198"/>
      <c r="M352" s="188"/>
      <c r="N352" s="198" t="str">
        <f>IFERROR(VLOOKUP(A352,'[3]0-LPM'!$A$6:$D$10668,4,0),"")</f>
        <v/>
      </c>
      <c r="O352" s="206"/>
      <c r="P352" s="208"/>
      <c r="Q352" s="209"/>
    </row>
    <row r="353" spans="1:17" ht="12.2" customHeight="1" x14ac:dyDescent="0.25">
      <c r="A353" s="189" t="s">
        <v>746</v>
      </c>
      <c r="B353" s="207" t="s">
        <v>747</v>
      </c>
      <c r="C353" s="190" t="s">
        <v>748</v>
      </c>
      <c r="D353" s="191">
        <v>3200</v>
      </c>
      <c r="E353" s="192">
        <v>1900</v>
      </c>
      <c r="F353" s="193">
        <f t="shared" si="20"/>
        <v>1560</v>
      </c>
      <c r="G353" s="194">
        <f t="shared" si="21"/>
        <v>1620</v>
      </c>
      <c r="H353" s="195">
        <f t="shared" si="22"/>
        <v>1710</v>
      </c>
      <c r="I353" s="192">
        <f t="shared" si="23"/>
        <v>1810</v>
      </c>
      <c r="J353" s="196"/>
      <c r="K353" s="196"/>
      <c r="L353" s="198"/>
      <c r="M353" s="188"/>
      <c r="N353" s="198">
        <f>IFERROR(VLOOKUP(A353,'[3]0-LPM'!$A$6:$D$10668,4,0),"")</f>
        <v>0</v>
      </c>
      <c r="O353" s="190"/>
      <c r="P353" s="208"/>
      <c r="Q353" s="209"/>
    </row>
    <row r="354" spans="1:17" ht="12.2" customHeight="1" x14ac:dyDescent="0.25">
      <c r="A354" s="189" t="s">
        <v>749</v>
      </c>
      <c r="B354" s="207" t="s">
        <v>747</v>
      </c>
      <c r="C354" s="190" t="s">
        <v>750</v>
      </c>
      <c r="D354" s="191">
        <v>5600</v>
      </c>
      <c r="E354" s="192">
        <v>3400</v>
      </c>
      <c r="F354" s="193">
        <f t="shared" si="20"/>
        <v>2790</v>
      </c>
      <c r="G354" s="194">
        <f t="shared" si="21"/>
        <v>2890</v>
      </c>
      <c r="H354" s="195">
        <f t="shared" si="22"/>
        <v>3060</v>
      </c>
      <c r="I354" s="192">
        <f t="shared" si="23"/>
        <v>3230</v>
      </c>
      <c r="J354" s="196"/>
      <c r="K354" s="196"/>
      <c r="L354" s="198"/>
      <c r="M354" s="188"/>
      <c r="N354" s="198">
        <f>IFERROR(VLOOKUP(A354,'[3]0-LPM'!$A$6:$D$10668,4,0),"")</f>
        <v>0</v>
      </c>
      <c r="O354" s="190"/>
      <c r="P354" s="208"/>
      <c r="Q354" s="209"/>
    </row>
    <row r="355" spans="1:17" ht="12.2" customHeight="1" x14ac:dyDescent="0.25">
      <c r="A355" s="189" t="s">
        <v>751</v>
      </c>
      <c r="B355" s="207" t="s">
        <v>747</v>
      </c>
      <c r="C355" s="190" t="s">
        <v>752</v>
      </c>
      <c r="D355" s="191">
        <v>3200</v>
      </c>
      <c r="E355" s="192">
        <v>1900</v>
      </c>
      <c r="F355" s="193">
        <f t="shared" si="20"/>
        <v>1560</v>
      </c>
      <c r="G355" s="194">
        <f t="shared" si="21"/>
        <v>1620</v>
      </c>
      <c r="H355" s="195">
        <f t="shared" si="22"/>
        <v>1710</v>
      </c>
      <c r="I355" s="192">
        <f t="shared" si="23"/>
        <v>1810</v>
      </c>
      <c r="J355" s="196"/>
      <c r="K355" s="196"/>
      <c r="L355" s="198"/>
      <c r="M355" s="188"/>
      <c r="N355" s="198">
        <f>IFERROR(VLOOKUP(A355,'[3]0-LPM'!$A$6:$D$10668,4,0),"")</f>
        <v>0</v>
      </c>
      <c r="O355" s="190"/>
      <c r="P355" s="208"/>
      <c r="Q355" s="209"/>
    </row>
    <row r="356" spans="1:17" ht="12.2" customHeight="1" x14ac:dyDescent="0.25">
      <c r="A356" s="189" t="s">
        <v>753</v>
      </c>
      <c r="B356" s="207" t="s">
        <v>747</v>
      </c>
      <c r="C356" s="190" t="s">
        <v>754</v>
      </c>
      <c r="D356" s="191">
        <v>8300</v>
      </c>
      <c r="E356" s="192">
        <v>5000</v>
      </c>
      <c r="F356" s="193">
        <f t="shared" si="20"/>
        <v>4100</v>
      </c>
      <c r="G356" s="194">
        <f t="shared" si="21"/>
        <v>4250</v>
      </c>
      <c r="H356" s="195">
        <f t="shared" si="22"/>
        <v>4500</v>
      </c>
      <c r="I356" s="192">
        <f t="shared" si="23"/>
        <v>4750</v>
      </c>
      <c r="J356" s="196"/>
      <c r="K356" s="196"/>
      <c r="L356" s="198"/>
      <c r="M356" s="188"/>
      <c r="N356" s="198">
        <f>IFERROR(VLOOKUP(A356,'[3]0-LPM'!$A$6:$D$10668,4,0),"")</f>
        <v>0</v>
      </c>
      <c r="O356" s="190"/>
      <c r="P356" s="208"/>
      <c r="Q356" s="209"/>
    </row>
    <row r="357" spans="1:17" ht="12.2" customHeight="1" x14ac:dyDescent="0.25">
      <c r="A357" s="189" t="s">
        <v>755</v>
      </c>
      <c r="B357" s="207" t="s">
        <v>747</v>
      </c>
      <c r="C357" s="190" t="s">
        <v>756</v>
      </c>
      <c r="D357" s="191">
        <v>15200</v>
      </c>
      <c r="E357" s="192">
        <v>9100</v>
      </c>
      <c r="F357" s="193">
        <f t="shared" si="20"/>
        <v>7460</v>
      </c>
      <c r="G357" s="194">
        <f t="shared" si="21"/>
        <v>7740</v>
      </c>
      <c r="H357" s="195">
        <f t="shared" si="22"/>
        <v>8190</v>
      </c>
      <c r="I357" s="192">
        <f t="shared" si="23"/>
        <v>8650</v>
      </c>
      <c r="J357" s="196"/>
      <c r="K357" s="196"/>
      <c r="L357" s="198"/>
      <c r="M357" s="188"/>
      <c r="N357" s="198">
        <f>IFERROR(VLOOKUP(A357,'[3]0-LPM'!$A$6:$D$10668,4,0),"")</f>
        <v>0</v>
      </c>
      <c r="O357" s="190"/>
      <c r="P357" s="208"/>
      <c r="Q357" s="209"/>
    </row>
    <row r="358" spans="1:17" ht="12.2" customHeight="1" x14ac:dyDescent="0.25">
      <c r="A358" s="189" t="s">
        <v>757</v>
      </c>
      <c r="B358" s="207" t="s">
        <v>747</v>
      </c>
      <c r="C358" s="190" t="s">
        <v>758</v>
      </c>
      <c r="D358" s="191">
        <v>30000</v>
      </c>
      <c r="E358" s="192">
        <v>18000</v>
      </c>
      <c r="F358" s="193">
        <f t="shared" si="20"/>
        <v>14760</v>
      </c>
      <c r="G358" s="194">
        <f t="shared" si="21"/>
        <v>15300</v>
      </c>
      <c r="H358" s="195">
        <f t="shared" si="22"/>
        <v>16200</v>
      </c>
      <c r="I358" s="192">
        <f t="shared" si="23"/>
        <v>17100</v>
      </c>
      <c r="J358" s="196"/>
      <c r="K358" s="196"/>
      <c r="L358" s="198"/>
      <c r="M358" s="188"/>
      <c r="N358" s="198">
        <f>IFERROR(VLOOKUP(A358,'[3]0-LPM'!$A$6:$D$10668,4,0),"")</f>
        <v>0</v>
      </c>
      <c r="O358" s="190"/>
      <c r="P358" s="208"/>
      <c r="Q358" s="209"/>
    </row>
    <row r="359" spans="1:17" ht="12.2" customHeight="1" x14ac:dyDescent="0.25">
      <c r="A359" s="189" t="s">
        <v>759</v>
      </c>
      <c r="B359" s="207" t="s">
        <v>747</v>
      </c>
      <c r="C359" s="190" t="s">
        <v>760</v>
      </c>
      <c r="D359" s="191">
        <v>30000</v>
      </c>
      <c r="E359" s="192">
        <v>18000</v>
      </c>
      <c r="F359" s="193">
        <f t="shared" si="20"/>
        <v>14760</v>
      </c>
      <c r="G359" s="194">
        <f t="shared" si="21"/>
        <v>15300</v>
      </c>
      <c r="H359" s="195">
        <f t="shared" si="22"/>
        <v>16200</v>
      </c>
      <c r="I359" s="192">
        <f t="shared" si="23"/>
        <v>17100</v>
      </c>
      <c r="J359" s="196"/>
      <c r="K359" s="196"/>
      <c r="L359" s="198"/>
      <c r="M359" s="188"/>
      <c r="N359" s="198">
        <f>IFERROR(VLOOKUP(A359,'[3]0-LPM'!$A$6:$D$10668,4,0),"")</f>
        <v>0</v>
      </c>
      <c r="O359" s="190"/>
      <c r="P359" s="208"/>
      <c r="Q359" s="209"/>
    </row>
    <row r="360" spans="1:17" ht="12.2" customHeight="1" x14ac:dyDescent="0.25">
      <c r="A360" s="189" t="s">
        <v>761</v>
      </c>
      <c r="B360" s="207" t="s">
        <v>747</v>
      </c>
      <c r="C360" s="190" t="s">
        <v>762</v>
      </c>
      <c r="D360" s="191">
        <v>8300</v>
      </c>
      <c r="E360" s="192">
        <v>5000</v>
      </c>
      <c r="F360" s="193">
        <f t="shared" si="20"/>
        <v>4100</v>
      </c>
      <c r="G360" s="194">
        <f t="shared" si="21"/>
        <v>4250</v>
      </c>
      <c r="H360" s="195">
        <f t="shared" si="22"/>
        <v>4500</v>
      </c>
      <c r="I360" s="192">
        <f t="shared" si="23"/>
        <v>4750</v>
      </c>
      <c r="J360" s="196"/>
      <c r="K360" s="196"/>
      <c r="L360" s="198"/>
      <c r="M360" s="188"/>
      <c r="N360" s="198">
        <f>IFERROR(VLOOKUP(A360,'[3]0-LPM'!$A$6:$D$10668,4,0),"")</f>
        <v>0</v>
      </c>
      <c r="O360" s="190"/>
      <c r="P360" s="208"/>
      <c r="Q360" s="209"/>
    </row>
    <row r="361" spans="1:17" ht="12.2" customHeight="1" x14ac:dyDescent="0.25">
      <c r="A361" s="189" t="s">
        <v>763</v>
      </c>
      <c r="B361" s="207" t="s">
        <v>747</v>
      </c>
      <c r="C361" s="190" t="s">
        <v>764</v>
      </c>
      <c r="D361" s="191">
        <v>8300</v>
      </c>
      <c r="E361" s="192">
        <v>5000</v>
      </c>
      <c r="F361" s="193">
        <f t="shared" si="20"/>
        <v>4100</v>
      </c>
      <c r="G361" s="194">
        <f t="shared" si="21"/>
        <v>4250</v>
      </c>
      <c r="H361" s="195">
        <f t="shared" si="22"/>
        <v>4500</v>
      </c>
      <c r="I361" s="192">
        <f t="shared" si="23"/>
        <v>4750</v>
      </c>
      <c r="J361" s="196"/>
      <c r="K361" s="196"/>
      <c r="L361" s="198"/>
      <c r="M361" s="188"/>
      <c r="N361" s="198">
        <f>IFERROR(VLOOKUP(A361,'[3]0-LPM'!$A$6:$D$10668,4,0),"")</f>
        <v>0</v>
      </c>
      <c r="O361" s="190"/>
      <c r="P361" s="208"/>
      <c r="Q361" s="209"/>
    </row>
    <row r="362" spans="1:17" ht="12.2" customHeight="1" x14ac:dyDescent="0.25">
      <c r="A362" s="189" t="s">
        <v>765</v>
      </c>
      <c r="B362" s="207" t="s">
        <v>747</v>
      </c>
      <c r="C362" s="190" t="s">
        <v>766</v>
      </c>
      <c r="D362" s="191">
        <v>8300</v>
      </c>
      <c r="E362" s="192">
        <v>5000</v>
      </c>
      <c r="F362" s="193">
        <f t="shared" si="20"/>
        <v>4100</v>
      </c>
      <c r="G362" s="194">
        <f t="shared" si="21"/>
        <v>4250</v>
      </c>
      <c r="H362" s="195">
        <f t="shared" si="22"/>
        <v>4500</v>
      </c>
      <c r="I362" s="192">
        <f t="shared" si="23"/>
        <v>4750</v>
      </c>
      <c r="J362" s="196"/>
      <c r="K362" s="196"/>
      <c r="L362" s="198"/>
      <c r="M362" s="188"/>
      <c r="N362" s="198">
        <f>IFERROR(VLOOKUP(A362,'[3]0-LPM'!$A$6:$D$10668,4,0),"")</f>
        <v>0</v>
      </c>
      <c r="O362" s="190"/>
      <c r="P362" s="208"/>
      <c r="Q362" s="209"/>
    </row>
    <row r="363" spans="1:17" ht="12.2" customHeight="1" x14ac:dyDescent="0.25">
      <c r="A363" s="189" t="s">
        <v>767</v>
      </c>
      <c r="B363" s="207" t="s">
        <v>747</v>
      </c>
      <c r="C363" s="190" t="s">
        <v>768</v>
      </c>
      <c r="D363" s="191">
        <v>8300</v>
      </c>
      <c r="E363" s="192">
        <v>5000</v>
      </c>
      <c r="F363" s="193">
        <f t="shared" si="20"/>
        <v>4100</v>
      </c>
      <c r="G363" s="194">
        <f t="shared" si="21"/>
        <v>4250</v>
      </c>
      <c r="H363" s="195">
        <f t="shared" si="22"/>
        <v>4500</v>
      </c>
      <c r="I363" s="192">
        <f t="shared" si="23"/>
        <v>4750</v>
      </c>
      <c r="J363" s="196"/>
      <c r="K363" s="196"/>
      <c r="L363" s="198"/>
      <c r="M363" s="188"/>
      <c r="N363" s="198">
        <f>IFERROR(VLOOKUP(A363,'[3]0-LPM'!$A$6:$D$10668,4,0),"")</f>
        <v>0</v>
      </c>
      <c r="O363" s="190"/>
      <c r="P363" s="208"/>
      <c r="Q363" s="209"/>
    </row>
    <row r="364" spans="1:17" ht="12.2" customHeight="1" x14ac:dyDescent="0.25">
      <c r="A364" s="189" t="s">
        <v>769</v>
      </c>
      <c r="B364" s="207" t="s">
        <v>747</v>
      </c>
      <c r="C364" s="190" t="s">
        <v>770</v>
      </c>
      <c r="D364" s="191">
        <v>8300</v>
      </c>
      <c r="E364" s="192">
        <v>5000</v>
      </c>
      <c r="F364" s="193">
        <f t="shared" si="20"/>
        <v>4100</v>
      </c>
      <c r="G364" s="194">
        <f t="shared" si="21"/>
        <v>4250</v>
      </c>
      <c r="H364" s="195">
        <f t="shared" si="22"/>
        <v>4500</v>
      </c>
      <c r="I364" s="192">
        <f t="shared" si="23"/>
        <v>4750</v>
      </c>
      <c r="J364" s="196"/>
      <c r="K364" s="196"/>
      <c r="L364" s="198"/>
      <c r="M364" s="188"/>
      <c r="N364" s="198">
        <f>IFERROR(VLOOKUP(A364,'[3]0-LPM'!$A$6:$D$10668,4,0),"")</f>
        <v>0</v>
      </c>
      <c r="O364" s="190"/>
      <c r="P364" s="208"/>
      <c r="Q364" s="209"/>
    </row>
    <row r="365" spans="1:17" ht="12.2" customHeight="1" x14ac:dyDescent="0.25">
      <c r="A365" s="189" t="s">
        <v>771</v>
      </c>
      <c r="B365" s="207" t="s">
        <v>747</v>
      </c>
      <c r="C365" s="190" t="s">
        <v>772</v>
      </c>
      <c r="D365" s="191">
        <v>10300</v>
      </c>
      <c r="E365" s="192">
        <v>6200</v>
      </c>
      <c r="F365" s="193">
        <f t="shared" si="20"/>
        <v>5080</v>
      </c>
      <c r="G365" s="194">
        <f t="shared" si="21"/>
        <v>5270</v>
      </c>
      <c r="H365" s="195">
        <f t="shared" si="22"/>
        <v>5580</v>
      </c>
      <c r="I365" s="192">
        <f t="shared" si="23"/>
        <v>5890</v>
      </c>
      <c r="J365" s="196"/>
      <c r="K365" s="196"/>
      <c r="L365" s="198"/>
      <c r="M365" s="188"/>
      <c r="N365" s="198" t="str">
        <f>IFERROR(VLOOKUP(A365,'[3]0-LPM'!$A$6:$D$10668,4,0),"")</f>
        <v/>
      </c>
      <c r="O365" s="190"/>
      <c r="P365" s="208"/>
      <c r="Q365" s="209"/>
    </row>
    <row r="366" spans="1:17" ht="12.2" customHeight="1" x14ac:dyDescent="0.25">
      <c r="A366" s="189" t="s">
        <v>773</v>
      </c>
      <c r="B366" s="207" t="s">
        <v>747</v>
      </c>
      <c r="C366" s="190" t="s">
        <v>774</v>
      </c>
      <c r="D366" s="191">
        <v>10300</v>
      </c>
      <c r="E366" s="192">
        <v>6200</v>
      </c>
      <c r="F366" s="193">
        <f t="shared" si="20"/>
        <v>5080</v>
      </c>
      <c r="G366" s="194">
        <f t="shared" si="21"/>
        <v>5270</v>
      </c>
      <c r="H366" s="195">
        <f t="shared" si="22"/>
        <v>5580</v>
      </c>
      <c r="I366" s="192">
        <f t="shared" si="23"/>
        <v>5890</v>
      </c>
      <c r="J366" s="196"/>
      <c r="K366" s="196"/>
      <c r="L366" s="198"/>
      <c r="M366" s="188"/>
      <c r="N366" s="198" t="str">
        <f>IFERROR(VLOOKUP(A366,'[3]0-LPM'!$A$6:$D$10668,4,0),"")</f>
        <v/>
      </c>
      <c r="O366" s="190"/>
      <c r="P366" s="208"/>
      <c r="Q366" s="209"/>
    </row>
    <row r="367" spans="1:17" ht="12.2" customHeight="1" x14ac:dyDescent="0.25">
      <c r="A367" s="189" t="s">
        <v>775</v>
      </c>
      <c r="B367" s="207" t="s">
        <v>747</v>
      </c>
      <c r="C367" s="190" t="s">
        <v>776</v>
      </c>
      <c r="D367" s="191">
        <v>8300</v>
      </c>
      <c r="E367" s="192">
        <v>5000</v>
      </c>
      <c r="F367" s="193">
        <f t="shared" si="20"/>
        <v>4100</v>
      </c>
      <c r="G367" s="194">
        <f t="shared" si="21"/>
        <v>4250</v>
      </c>
      <c r="H367" s="195">
        <f t="shared" si="22"/>
        <v>4500</v>
      </c>
      <c r="I367" s="192">
        <f t="shared" si="23"/>
        <v>4750</v>
      </c>
      <c r="J367" s="196"/>
      <c r="K367" s="196"/>
      <c r="L367" s="198"/>
      <c r="M367" s="188"/>
      <c r="N367" s="198" t="str">
        <f>IFERROR(VLOOKUP(A367,'[3]0-LPM'!$A$6:$D$10668,4,0),"")</f>
        <v/>
      </c>
      <c r="O367" s="190"/>
      <c r="P367" s="208"/>
      <c r="Q367" s="209"/>
    </row>
    <row r="368" spans="1:17" ht="12.2" customHeight="1" x14ac:dyDescent="0.25">
      <c r="A368" s="189" t="s">
        <v>777</v>
      </c>
      <c r="B368" s="207" t="s">
        <v>747</v>
      </c>
      <c r="C368" s="190" t="s">
        <v>778</v>
      </c>
      <c r="D368" s="191">
        <v>10300</v>
      </c>
      <c r="E368" s="192">
        <v>6200</v>
      </c>
      <c r="F368" s="193">
        <f t="shared" si="20"/>
        <v>5080</v>
      </c>
      <c r="G368" s="194">
        <f t="shared" si="21"/>
        <v>5270</v>
      </c>
      <c r="H368" s="195">
        <f t="shared" si="22"/>
        <v>5580</v>
      </c>
      <c r="I368" s="192">
        <f t="shared" si="23"/>
        <v>5890</v>
      </c>
      <c r="J368" s="196"/>
      <c r="K368" s="196"/>
      <c r="L368" s="198"/>
      <c r="M368" s="188"/>
      <c r="N368" s="198" t="str">
        <f>IFERROR(VLOOKUP(A368,'[3]0-LPM'!$A$6:$D$10668,4,0),"")</f>
        <v/>
      </c>
      <c r="O368" s="190"/>
      <c r="P368" s="208"/>
      <c r="Q368" s="209"/>
    </row>
    <row r="369" spans="1:17" ht="12.2" customHeight="1" x14ac:dyDescent="0.25">
      <c r="A369" s="189" t="s">
        <v>779</v>
      </c>
      <c r="B369" s="207" t="s">
        <v>747</v>
      </c>
      <c r="C369" s="190" t="s">
        <v>780</v>
      </c>
      <c r="D369" s="191">
        <v>10300</v>
      </c>
      <c r="E369" s="192">
        <v>6200</v>
      </c>
      <c r="F369" s="193">
        <f t="shared" si="20"/>
        <v>5080</v>
      </c>
      <c r="G369" s="194">
        <f t="shared" si="21"/>
        <v>5270</v>
      </c>
      <c r="H369" s="195">
        <f t="shared" si="22"/>
        <v>5580</v>
      </c>
      <c r="I369" s="192">
        <f t="shared" si="23"/>
        <v>5890</v>
      </c>
      <c r="J369" s="196"/>
      <c r="K369" s="196"/>
      <c r="L369" s="198"/>
      <c r="M369" s="188"/>
      <c r="N369" s="198" t="str">
        <f>IFERROR(VLOOKUP(A369,'[3]0-LPM'!$A$6:$D$10668,4,0),"")</f>
        <v/>
      </c>
      <c r="O369" s="190"/>
      <c r="P369" s="208"/>
      <c r="Q369" s="209"/>
    </row>
    <row r="370" spans="1:17" ht="12.2" customHeight="1" x14ac:dyDescent="0.25">
      <c r="A370" s="189" t="s">
        <v>781</v>
      </c>
      <c r="B370" s="207" t="s">
        <v>747</v>
      </c>
      <c r="C370" s="190" t="s">
        <v>782</v>
      </c>
      <c r="D370" s="191">
        <v>10300</v>
      </c>
      <c r="E370" s="192">
        <v>6200</v>
      </c>
      <c r="F370" s="193">
        <f t="shared" si="20"/>
        <v>5080</v>
      </c>
      <c r="G370" s="194">
        <f t="shared" si="21"/>
        <v>5270</v>
      </c>
      <c r="H370" s="195">
        <f t="shared" si="22"/>
        <v>5580</v>
      </c>
      <c r="I370" s="192">
        <f t="shared" si="23"/>
        <v>5890</v>
      </c>
      <c r="J370" s="196"/>
      <c r="K370" s="196"/>
      <c r="L370" s="198"/>
      <c r="M370" s="188"/>
      <c r="N370" s="198" t="str">
        <f>IFERROR(VLOOKUP(A370,'[3]0-LPM'!$A$6:$D$10668,4,0),"")</f>
        <v/>
      </c>
      <c r="O370" s="190"/>
      <c r="P370" s="208"/>
      <c r="Q370" s="209"/>
    </row>
    <row r="371" spans="1:17" ht="12.2" customHeight="1" x14ac:dyDescent="0.25">
      <c r="A371" s="189" t="s">
        <v>783</v>
      </c>
      <c r="B371" s="207" t="s">
        <v>747</v>
      </c>
      <c r="C371" s="200" t="s">
        <v>784</v>
      </c>
      <c r="D371" s="191">
        <v>7600</v>
      </c>
      <c r="E371" s="192">
        <v>4600</v>
      </c>
      <c r="F371" s="193">
        <f t="shared" si="20"/>
        <v>3770</v>
      </c>
      <c r="G371" s="194">
        <f t="shared" si="21"/>
        <v>3910</v>
      </c>
      <c r="H371" s="195">
        <f t="shared" si="22"/>
        <v>4140</v>
      </c>
      <c r="I371" s="192">
        <f t="shared" si="23"/>
        <v>4370</v>
      </c>
      <c r="J371" s="196"/>
      <c r="K371" s="196"/>
      <c r="L371" s="198"/>
      <c r="M371" s="188"/>
      <c r="N371" s="198" t="str">
        <f>IFERROR(VLOOKUP(A371,'[3]0-LPM'!$A$6:$D$10668,4,0),"")</f>
        <v/>
      </c>
      <c r="O371" s="200"/>
      <c r="P371" s="208"/>
      <c r="Q371" s="209"/>
    </row>
    <row r="372" spans="1:17" ht="12.2" customHeight="1" x14ac:dyDescent="0.25">
      <c r="A372" s="189" t="s">
        <v>785</v>
      </c>
      <c r="B372" s="207" t="s">
        <v>747</v>
      </c>
      <c r="C372" s="200" t="s">
        <v>786</v>
      </c>
      <c r="D372" s="191">
        <v>7600</v>
      </c>
      <c r="E372" s="192">
        <v>4600</v>
      </c>
      <c r="F372" s="193">
        <f t="shared" si="20"/>
        <v>3770</v>
      </c>
      <c r="G372" s="194">
        <f t="shared" si="21"/>
        <v>3910</v>
      </c>
      <c r="H372" s="195">
        <f t="shared" si="22"/>
        <v>4140</v>
      </c>
      <c r="I372" s="192">
        <f t="shared" si="23"/>
        <v>4370</v>
      </c>
      <c r="J372" s="196"/>
      <c r="K372" s="196"/>
      <c r="L372" s="198"/>
      <c r="M372" s="188"/>
      <c r="N372" s="198" t="str">
        <f>IFERROR(VLOOKUP(A372,'[3]0-LPM'!$A$6:$D$10668,4,0),"")</f>
        <v/>
      </c>
      <c r="O372" s="200"/>
      <c r="P372" s="208"/>
      <c r="Q372" s="209"/>
    </row>
    <row r="373" spans="1:17" ht="12.2" customHeight="1" x14ac:dyDescent="0.25">
      <c r="A373" s="189" t="s">
        <v>787</v>
      </c>
      <c r="B373" s="207" t="s">
        <v>747</v>
      </c>
      <c r="C373" s="200" t="s">
        <v>788</v>
      </c>
      <c r="D373" s="191">
        <v>0</v>
      </c>
      <c r="E373" s="192">
        <v>32620</v>
      </c>
      <c r="F373" s="193">
        <f t="shared" si="20"/>
        <v>26750</v>
      </c>
      <c r="G373" s="194">
        <f t="shared" si="21"/>
        <v>27730</v>
      </c>
      <c r="H373" s="195">
        <f t="shared" si="22"/>
        <v>29360</v>
      </c>
      <c r="I373" s="192">
        <f t="shared" si="23"/>
        <v>30990</v>
      </c>
      <c r="J373" s="196"/>
      <c r="K373" s="196"/>
      <c r="L373" s="198"/>
      <c r="M373" s="188"/>
      <c r="N373" s="198" t="str">
        <f>IFERROR(VLOOKUP(A373,'[3]0-LPM'!$A$6:$D$10668,4,0),"")</f>
        <v/>
      </c>
      <c r="O373" s="200"/>
      <c r="P373" s="208"/>
      <c r="Q373" s="209"/>
    </row>
    <row r="374" spans="1:17" ht="12.2" customHeight="1" x14ac:dyDescent="0.25">
      <c r="A374" s="189" t="s">
        <v>789</v>
      </c>
      <c r="B374" s="207" t="s">
        <v>747</v>
      </c>
      <c r="C374" s="200" t="s">
        <v>790</v>
      </c>
      <c r="D374" s="191">
        <v>0</v>
      </c>
      <c r="E374" s="192">
        <v>0</v>
      </c>
      <c r="F374" s="193">
        <f t="shared" si="20"/>
        <v>0</v>
      </c>
      <c r="G374" s="194">
        <f t="shared" si="21"/>
        <v>0</v>
      </c>
      <c r="H374" s="195">
        <f t="shared" si="22"/>
        <v>0</v>
      </c>
      <c r="I374" s="192">
        <f t="shared" si="23"/>
        <v>0</v>
      </c>
      <c r="J374" s="196"/>
      <c r="K374" s="196"/>
      <c r="L374" s="198"/>
      <c r="M374" s="188"/>
      <c r="N374" s="198" t="str">
        <f>IFERROR(VLOOKUP(A374,'[3]0-LPM'!$A$6:$D$10668,4,0),"")</f>
        <v/>
      </c>
      <c r="O374" s="200"/>
      <c r="P374" s="208"/>
      <c r="Q374" s="209"/>
    </row>
    <row r="375" spans="1:17" ht="12.2" customHeight="1" x14ac:dyDescent="0.25">
      <c r="A375" s="189" t="s">
        <v>791</v>
      </c>
      <c r="B375" s="207" t="s">
        <v>747</v>
      </c>
      <c r="C375" s="200" t="s">
        <v>792</v>
      </c>
      <c r="D375" s="191">
        <v>0</v>
      </c>
      <c r="E375" s="192">
        <v>0</v>
      </c>
      <c r="F375" s="193">
        <f t="shared" si="20"/>
        <v>0</v>
      </c>
      <c r="G375" s="194">
        <f t="shared" si="21"/>
        <v>0</v>
      </c>
      <c r="H375" s="195">
        <f t="shared" si="22"/>
        <v>0</v>
      </c>
      <c r="I375" s="192">
        <f t="shared" si="23"/>
        <v>0</v>
      </c>
      <c r="J375" s="196"/>
      <c r="K375" s="196"/>
      <c r="L375" s="198"/>
      <c r="M375" s="188"/>
      <c r="N375" s="198" t="str">
        <f>IFERROR(VLOOKUP(A375,'[3]0-LPM'!$A$6:$D$10668,4,0),"")</f>
        <v/>
      </c>
      <c r="O375" s="200"/>
      <c r="P375" s="208"/>
      <c r="Q375" s="209"/>
    </row>
    <row r="376" spans="1:17" ht="12.2" customHeight="1" x14ac:dyDescent="0.25">
      <c r="A376" s="189" t="s">
        <v>793</v>
      </c>
      <c r="B376" s="207" t="s">
        <v>747</v>
      </c>
      <c r="C376" s="200" t="s">
        <v>794</v>
      </c>
      <c r="D376" s="191">
        <v>0</v>
      </c>
      <c r="E376" s="192">
        <v>0</v>
      </c>
      <c r="F376" s="193">
        <f t="shared" si="20"/>
        <v>0</v>
      </c>
      <c r="G376" s="194">
        <f t="shared" si="21"/>
        <v>0</v>
      </c>
      <c r="H376" s="195">
        <f t="shared" si="22"/>
        <v>0</v>
      </c>
      <c r="I376" s="192">
        <f t="shared" si="23"/>
        <v>0</v>
      </c>
      <c r="J376" s="196"/>
      <c r="K376" s="196"/>
      <c r="L376" s="198"/>
      <c r="M376" s="188"/>
      <c r="N376" s="198" t="str">
        <f>IFERROR(VLOOKUP(A376,'[3]0-LPM'!$A$6:$D$10668,4,0),"")</f>
        <v/>
      </c>
      <c r="O376" s="200"/>
      <c r="P376" s="208"/>
      <c r="Q376" s="209"/>
    </row>
    <row r="377" spans="1:17" ht="12.2" customHeight="1" x14ac:dyDescent="0.25">
      <c r="A377" s="204"/>
      <c r="B377" s="205"/>
      <c r="C377" s="206" t="s">
        <v>795</v>
      </c>
      <c r="D377" s="191">
        <v>0</v>
      </c>
      <c r="E377" s="192">
        <v>0</v>
      </c>
      <c r="F377" s="193">
        <f t="shared" si="20"/>
        <v>0</v>
      </c>
      <c r="G377" s="194">
        <f t="shared" si="21"/>
        <v>0</v>
      </c>
      <c r="H377" s="195">
        <f t="shared" si="22"/>
        <v>0</v>
      </c>
      <c r="I377" s="192">
        <f t="shared" si="23"/>
        <v>0</v>
      </c>
      <c r="J377" s="196"/>
      <c r="K377" s="196"/>
      <c r="L377" s="198"/>
      <c r="M377" s="188"/>
      <c r="N377" s="198" t="str">
        <f>IFERROR(VLOOKUP(A377,'[3]0-LPM'!$A$6:$D$10668,4,0),"")</f>
        <v/>
      </c>
      <c r="O377" s="206"/>
      <c r="P377" s="208"/>
      <c r="Q377" s="209"/>
    </row>
    <row r="378" spans="1:17" ht="12.2" customHeight="1" x14ac:dyDescent="0.25">
      <c r="A378" s="210" t="s">
        <v>796</v>
      </c>
      <c r="B378" s="211" t="s">
        <v>797</v>
      </c>
      <c r="C378" s="212" t="s">
        <v>798</v>
      </c>
      <c r="D378" s="191">
        <v>0</v>
      </c>
      <c r="E378" s="192">
        <v>0</v>
      </c>
      <c r="F378" s="193">
        <f t="shared" si="20"/>
        <v>0</v>
      </c>
      <c r="G378" s="194">
        <f t="shared" si="21"/>
        <v>0</v>
      </c>
      <c r="H378" s="195">
        <f t="shared" si="22"/>
        <v>0</v>
      </c>
      <c r="I378" s="192">
        <f t="shared" si="23"/>
        <v>0</v>
      </c>
      <c r="J378" s="196"/>
      <c r="K378" s="196"/>
      <c r="L378" s="198"/>
      <c r="M378" s="188"/>
      <c r="N378" s="198">
        <f>IFERROR(VLOOKUP(A378,'[3]0-LPM'!$A$6:$D$10668,4,0),"")</f>
        <v>0</v>
      </c>
      <c r="O378" s="212"/>
      <c r="P378" s="208"/>
      <c r="Q378" s="209"/>
    </row>
    <row r="379" spans="1:17" ht="12.2" customHeight="1" x14ac:dyDescent="0.25">
      <c r="A379" s="210" t="s">
        <v>799</v>
      </c>
      <c r="B379" s="211" t="s">
        <v>797</v>
      </c>
      <c r="C379" s="212" t="s">
        <v>800</v>
      </c>
      <c r="D379" s="191">
        <v>0</v>
      </c>
      <c r="E379" s="192">
        <v>0</v>
      </c>
      <c r="F379" s="193">
        <f t="shared" si="20"/>
        <v>0</v>
      </c>
      <c r="G379" s="194">
        <f t="shared" si="21"/>
        <v>0</v>
      </c>
      <c r="H379" s="195">
        <f t="shared" si="22"/>
        <v>0</v>
      </c>
      <c r="I379" s="192">
        <f t="shared" si="23"/>
        <v>0</v>
      </c>
      <c r="J379" s="196"/>
      <c r="K379" s="196"/>
      <c r="L379" s="198"/>
      <c r="M379" s="188"/>
      <c r="N379" s="198">
        <f>IFERROR(VLOOKUP(A379,'[3]0-LPM'!$A$6:$D$10668,4,0),"")</f>
        <v>1437.7762444444445</v>
      </c>
      <c r="O379" s="212"/>
      <c r="P379" s="208"/>
      <c r="Q379" s="209"/>
    </row>
    <row r="380" spans="1:17" ht="12.2" customHeight="1" x14ac:dyDescent="0.25">
      <c r="A380" s="210" t="s">
        <v>801</v>
      </c>
      <c r="B380" s="211" t="s">
        <v>797</v>
      </c>
      <c r="C380" s="212" t="s">
        <v>802</v>
      </c>
      <c r="D380" s="191">
        <v>0</v>
      </c>
      <c r="E380" s="192">
        <v>0</v>
      </c>
      <c r="F380" s="193">
        <f t="shared" si="20"/>
        <v>0</v>
      </c>
      <c r="G380" s="194">
        <f t="shared" si="21"/>
        <v>0</v>
      </c>
      <c r="H380" s="195">
        <f t="shared" si="22"/>
        <v>0</v>
      </c>
      <c r="I380" s="192">
        <f t="shared" si="23"/>
        <v>0</v>
      </c>
      <c r="J380" s="196"/>
      <c r="K380" s="196"/>
      <c r="L380" s="198"/>
      <c r="M380" s="188"/>
      <c r="N380" s="198">
        <f>IFERROR(VLOOKUP(A380,'[3]0-LPM'!$A$6:$D$10668,4,0),"")</f>
        <v>2765.6785521885522</v>
      </c>
      <c r="O380" s="212"/>
      <c r="P380" s="208"/>
      <c r="Q380" s="209"/>
    </row>
    <row r="381" spans="1:17" ht="12.2" customHeight="1" x14ac:dyDescent="0.25">
      <c r="A381" s="210" t="s">
        <v>803</v>
      </c>
      <c r="B381" s="211" t="s">
        <v>797</v>
      </c>
      <c r="C381" s="212" t="s">
        <v>804</v>
      </c>
      <c r="D381" s="191">
        <v>0</v>
      </c>
      <c r="E381" s="192">
        <v>0</v>
      </c>
      <c r="F381" s="193">
        <f t="shared" si="20"/>
        <v>0</v>
      </c>
      <c r="G381" s="194">
        <f t="shared" si="21"/>
        <v>0</v>
      </c>
      <c r="H381" s="195">
        <f t="shared" si="22"/>
        <v>0</v>
      </c>
      <c r="I381" s="192">
        <f t="shared" si="23"/>
        <v>0</v>
      </c>
      <c r="J381" s="196"/>
      <c r="K381" s="196"/>
      <c r="L381" s="198"/>
      <c r="M381" s="188"/>
      <c r="N381" s="198" t="str">
        <f>IFERROR(VLOOKUP(A381,'[3]0-LPM'!$A$6:$D$10668,4,0),"")</f>
        <v/>
      </c>
      <c r="O381" s="212"/>
      <c r="P381" s="208"/>
      <c r="Q381" s="209"/>
    </row>
    <row r="382" spans="1:17" ht="12.2" customHeight="1" x14ac:dyDescent="0.25">
      <c r="A382" s="210" t="s">
        <v>805</v>
      </c>
      <c r="B382" s="211" t="s">
        <v>797</v>
      </c>
      <c r="C382" s="212" t="s">
        <v>806</v>
      </c>
      <c r="D382" s="191">
        <v>0</v>
      </c>
      <c r="E382" s="192">
        <v>0</v>
      </c>
      <c r="F382" s="193">
        <f t="shared" si="20"/>
        <v>0</v>
      </c>
      <c r="G382" s="194">
        <f t="shared" si="21"/>
        <v>0</v>
      </c>
      <c r="H382" s="195">
        <f t="shared" si="22"/>
        <v>0</v>
      </c>
      <c r="I382" s="192">
        <f t="shared" si="23"/>
        <v>0</v>
      </c>
      <c r="J382" s="196"/>
      <c r="K382" s="196"/>
      <c r="L382" s="198"/>
      <c r="M382" s="188"/>
      <c r="N382" s="198" t="str">
        <f>IFERROR(VLOOKUP(A382,'[3]0-LPM'!$A$6:$D$10668,4,0),"")</f>
        <v/>
      </c>
      <c r="O382" s="212"/>
      <c r="P382" s="208"/>
      <c r="Q382" s="209"/>
    </row>
    <row r="383" spans="1:17" ht="12.2" customHeight="1" x14ac:dyDescent="0.25">
      <c r="A383" s="210" t="s">
        <v>807</v>
      </c>
      <c r="B383" s="207" t="s">
        <v>808</v>
      </c>
      <c r="C383" s="200" t="s">
        <v>809</v>
      </c>
      <c r="D383" s="191">
        <v>0</v>
      </c>
      <c r="E383" s="192">
        <v>0</v>
      </c>
      <c r="F383" s="193">
        <f t="shared" si="20"/>
        <v>0</v>
      </c>
      <c r="G383" s="194">
        <f t="shared" si="21"/>
        <v>0</v>
      </c>
      <c r="H383" s="195">
        <f t="shared" si="22"/>
        <v>0</v>
      </c>
      <c r="I383" s="192">
        <f t="shared" si="23"/>
        <v>0</v>
      </c>
      <c r="J383" s="196"/>
      <c r="K383" s="196"/>
      <c r="L383" s="198"/>
      <c r="M383" s="188"/>
      <c r="N383" s="198" t="str">
        <f>IFERROR(VLOOKUP(A383,'[3]0-LPM'!$A$6:$D$10668,4,0),"")</f>
        <v/>
      </c>
      <c r="O383" s="200"/>
      <c r="P383" s="208"/>
      <c r="Q383" s="209"/>
    </row>
    <row r="384" spans="1:17" ht="12.2" customHeight="1" x14ac:dyDescent="0.25">
      <c r="A384" s="210" t="s">
        <v>810</v>
      </c>
      <c r="B384" s="207" t="s">
        <v>808</v>
      </c>
      <c r="C384" s="200" t="s">
        <v>811</v>
      </c>
      <c r="D384" s="191">
        <v>0</v>
      </c>
      <c r="E384" s="192">
        <v>0</v>
      </c>
      <c r="F384" s="193">
        <f t="shared" si="20"/>
        <v>0</v>
      </c>
      <c r="G384" s="194">
        <f t="shared" si="21"/>
        <v>0</v>
      </c>
      <c r="H384" s="195">
        <f t="shared" si="22"/>
        <v>0</v>
      </c>
      <c r="I384" s="192">
        <f t="shared" si="23"/>
        <v>0</v>
      </c>
      <c r="J384" s="196"/>
      <c r="K384" s="196"/>
      <c r="L384" s="198" t="str">
        <f>IFERROR(VLOOKUP(#REF!,'[3]0-LPM'!$A$6:$D$10668,4,0),"")</f>
        <v/>
      </c>
      <c r="M384" s="188"/>
      <c r="N384" s="198" t="str">
        <f>IFERROR(VLOOKUP(A384,'[3]0-LPM'!$A$6:$D$10668,4,0),"")</f>
        <v/>
      </c>
      <c r="O384" s="200"/>
      <c r="P384" s="208"/>
      <c r="Q384" s="209"/>
    </row>
    <row r="385" spans="1:17" ht="12.2" customHeight="1" x14ac:dyDescent="0.25">
      <c r="A385" s="210" t="s">
        <v>812</v>
      </c>
      <c r="B385" s="211" t="s">
        <v>813</v>
      </c>
      <c r="C385" s="212" t="s">
        <v>813</v>
      </c>
      <c r="D385" s="191">
        <v>0</v>
      </c>
      <c r="E385" s="192">
        <v>0</v>
      </c>
      <c r="F385" s="193">
        <f t="shared" si="20"/>
        <v>0</v>
      </c>
      <c r="G385" s="194">
        <f t="shared" si="21"/>
        <v>0</v>
      </c>
      <c r="H385" s="195">
        <f t="shared" si="22"/>
        <v>0</v>
      </c>
      <c r="I385" s="192">
        <f t="shared" si="23"/>
        <v>0</v>
      </c>
      <c r="J385" s="196"/>
      <c r="K385" s="196"/>
      <c r="L385" s="198" t="str">
        <f>IFERROR(VLOOKUP(#REF!,'[3]0-LPM'!$A$6:$D$10668,4,0),"")</f>
        <v/>
      </c>
      <c r="M385" s="188"/>
      <c r="N385" s="198" t="str">
        <f>IFERROR(VLOOKUP(A385,'[3]0-LPM'!$A$6:$D$10668,4,0),"")</f>
        <v/>
      </c>
      <c r="O385" s="212"/>
      <c r="P385" s="208"/>
      <c r="Q385" s="209"/>
    </row>
    <row r="386" spans="1:17" ht="12.2" customHeight="1" x14ac:dyDescent="0.25">
      <c r="A386" s="210" t="s">
        <v>814</v>
      </c>
      <c r="B386" s="211" t="s">
        <v>797</v>
      </c>
      <c r="C386" s="212" t="s">
        <v>815</v>
      </c>
      <c r="D386" s="191">
        <v>0</v>
      </c>
      <c r="E386" s="192">
        <v>0</v>
      </c>
      <c r="F386" s="193">
        <f t="shared" si="20"/>
        <v>0</v>
      </c>
      <c r="G386" s="194">
        <f t="shared" si="21"/>
        <v>0</v>
      </c>
      <c r="H386" s="195">
        <f t="shared" si="22"/>
        <v>0</v>
      </c>
      <c r="I386" s="192">
        <f t="shared" si="23"/>
        <v>0</v>
      </c>
      <c r="J386" s="196"/>
      <c r="K386" s="196"/>
      <c r="L386" s="198" t="str">
        <f>IFERROR(VLOOKUP(#REF!,'[3]0-LPM'!$A$6:$D$10668,4,0),"")</f>
        <v/>
      </c>
      <c r="M386" s="188"/>
      <c r="N386" s="198" t="str">
        <f>IFERROR(VLOOKUP(A386,'[3]0-LPM'!$A$6:$D$10668,4,0),"")</f>
        <v/>
      </c>
      <c r="O386" s="212"/>
      <c r="P386" s="208"/>
      <c r="Q386" s="209"/>
    </row>
    <row r="387" spans="1:17" ht="12.2" customHeight="1" x14ac:dyDescent="0.25">
      <c r="A387" s="210" t="s">
        <v>816</v>
      </c>
      <c r="B387" s="211" t="s">
        <v>797</v>
      </c>
      <c r="C387" s="212" t="s">
        <v>817</v>
      </c>
      <c r="D387" s="191">
        <v>0</v>
      </c>
      <c r="E387" s="192">
        <v>0</v>
      </c>
      <c r="F387" s="193">
        <f t="shared" si="20"/>
        <v>0</v>
      </c>
      <c r="G387" s="194">
        <f t="shared" si="21"/>
        <v>0</v>
      </c>
      <c r="H387" s="195">
        <f t="shared" si="22"/>
        <v>0</v>
      </c>
      <c r="I387" s="192">
        <f t="shared" si="23"/>
        <v>0</v>
      </c>
      <c r="J387" s="196"/>
      <c r="K387" s="196"/>
      <c r="L387" s="198" t="str">
        <f>IFERROR(VLOOKUP(#REF!,'[3]0-LPM'!$A$6:$D$10668,4,0),"")</f>
        <v/>
      </c>
      <c r="M387" s="188"/>
      <c r="N387" s="198" t="str">
        <f>IFERROR(VLOOKUP(A387,'[3]0-LPM'!$A$6:$D$10668,4,0),"")</f>
        <v/>
      </c>
      <c r="O387" s="212"/>
      <c r="P387" s="208"/>
      <c r="Q387" s="209"/>
    </row>
    <row r="388" spans="1:17" ht="12.2" customHeight="1" x14ac:dyDescent="0.25">
      <c r="A388" s="210" t="s">
        <v>818</v>
      </c>
      <c r="B388" s="211" t="s">
        <v>797</v>
      </c>
      <c r="C388" s="212" t="s">
        <v>819</v>
      </c>
      <c r="D388" s="191">
        <v>0</v>
      </c>
      <c r="E388" s="192">
        <v>0</v>
      </c>
      <c r="F388" s="193">
        <f t="shared" si="20"/>
        <v>0</v>
      </c>
      <c r="G388" s="194">
        <f t="shared" si="21"/>
        <v>0</v>
      </c>
      <c r="H388" s="195">
        <f t="shared" si="22"/>
        <v>0</v>
      </c>
      <c r="I388" s="192">
        <f t="shared" si="23"/>
        <v>0</v>
      </c>
      <c r="J388" s="196"/>
      <c r="K388" s="196"/>
      <c r="L388" s="198" t="str">
        <f>IFERROR(VLOOKUP(#REF!,'[3]0-LPM'!$A$6:$D$10668,4,0),"")</f>
        <v/>
      </c>
      <c r="M388" s="188"/>
      <c r="N388" s="198" t="str">
        <f>IFERROR(VLOOKUP(A388,'[3]0-LPM'!$A$6:$D$10668,4,0),"")</f>
        <v/>
      </c>
      <c r="O388" s="212"/>
      <c r="P388" s="208"/>
      <c r="Q388" s="209"/>
    </row>
    <row r="389" spans="1:17" ht="12.2" customHeight="1" x14ac:dyDescent="0.25">
      <c r="A389" s="210" t="s">
        <v>820</v>
      </c>
      <c r="B389" s="211" t="s">
        <v>797</v>
      </c>
      <c r="C389" s="212" t="s">
        <v>821</v>
      </c>
      <c r="D389" s="191">
        <v>0</v>
      </c>
      <c r="E389" s="192">
        <v>0</v>
      </c>
      <c r="F389" s="193">
        <f t="shared" si="20"/>
        <v>0</v>
      </c>
      <c r="G389" s="194">
        <f t="shared" si="21"/>
        <v>0</v>
      </c>
      <c r="H389" s="195">
        <f t="shared" si="22"/>
        <v>0</v>
      </c>
      <c r="I389" s="192">
        <f t="shared" si="23"/>
        <v>0</v>
      </c>
      <c r="J389" s="196"/>
      <c r="K389" s="196"/>
      <c r="L389" s="198" t="str">
        <f>IFERROR(VLOOKUP(#REF!,'[3]0-LPM'!$A$6:$D$10668,4,0),"")</f>
        <v/>
      </c>
      <c r="M389" s="188"/>
      <c r="N389" s="198" t="str">
        <f>IFERROR(VLOOKUP(A389,'[3]0-LPM'!$A$6:$D$10668,4,0),"")</f>
        <v/>
      </c>
      <c r="O389" s="212"/>
      <c r="P389" s="208"/>
      <c r="Q389" s="209"/>
    </row>
    <row r="390" spans="1:17" ht="12.2" customHeight="1" x14ac:dyDescent="0.25">
      <c r="A390" s="204"/>
      <c r="B390" s="205"/>
      <c r="C390" s="206" t="str">
        <f>+B391</f>
        <v>ALFAJORES</v>
      </c>
      <c r="D390" s="191">
        <v>0</v>
      </c>
      <c r="E390" s="192">
        <v>0</v>
      </c>
      <c r="F390" s="193">
        <f t="shared" si="20"/>
        <v>0</v>
      </c>
      <c r="G390" s="194">
        <f t="shared" si="21"/>
        <v>0</v>
      </c>
      <c r="H390" s="195">
        <f t="shared" si="22"/>
        <v>0</v>
      </c>
      <c r="I390" s="192">
        <f t="shared" si="23"/>
        <v>0</v>
      </c>
      <c r="J390" s="196"/>
      <c r="K390" s="196"/>
      <c r="L390" s="198" t="str">
        <f>IFERROR(VLOOKUP(#REF!,'[3]0-LPM'!$A$6:$D$10668,4,0),"")</f>
        <v/>
      </c>
      <c r="M390" s="188"/>
      <c r="N390" s="198" t="str">
        <f>IFERROR(VLOOKUP(A390,'[3]0-LPM'!$A$6:$D$10668,4,0),"")</f>
        <v/>
      </c>
      <c r="O390" s="206"/>
      <c r="P390" s="208"/>
      <c r="Q390" s="209"/>
    </row>
    <row r="391" spans="1:17" ht="12.2" customHeight="1" x14ac:dyDescent="0.25">
      <c r="A391" s="189" t="s">
        <v>822</v>
      </c>
      <c r="B391" s="207" t="s">
        <v>823</v>
      </c>
      <c r="C391" s="190" t="s">
        <v>824</v>
      </c>
      <c r="D391" s="191">
        <v>4500</v>
      </c>
      <c r="E391" s="192">
        <v>2800</v>
      </c>
      <c r="F391" s="193">
        <f t="shared" si="20"/>
        <v>2300</v>
      </c>
      <c r="G391" s="194">
        <f t="shared" si="21"/>
        <v>2380</v>
      </c>
      <c r="H391" s="195">
        <f t="shared" si="22"/>
        <v>2520</v>
      </c>
      <c r="I391" s="192">
        <f t="shared" si="23"/>
        <v>2660</v>
      </c>
      <c r="J391" s="196"/>
      <c r="K391" s="196"/>
      <c r="L391" s="198" t="str">
        <f>IFERROR(VLOOKUP(#REF!,'[3]0-LPM'!$A$6:$D$10668,4,0),"")</f>
        <v/>
      </c>
      <c r="M391" s="188"/>
      <c r="N391" s="198">
        <f>IFERROR(VLOOKUP(A391,'[3]0-LPM'!$A$6:$D$10668,4,0),"")</f>
        <v>0</v>
      </c>
      <c r="O391" s="190"/>
      <c r="P391" s="208"/>
      <c r="Q391" s="209"/>
    </row>
    <row r="392" spans="1:17" ht="12.2" customHeight="1" x14ac:dyDescent="0.25">
      <c r="A392" s="189" t="s">
        <v>825</v>
      </c>
      <c r="B392" s="207" t="s">
        <v>823</v>
      </c>
      <c r="C392" s="190" t="s">
        <v>826</v>
      </c>
      <c r="D392" s="191">
        <v>4500</v>
      </c>
      <c r="E392" s="192">
        <v>2800</v>
      </c>
      <c r="F392" s="193">
        <f t="shared" si="20"/>
        <v>2300</v>
      </c>
      <c r="G392" s="194">
        <f t="shared" si="21"/>
        <v>2380</v>
      </c>
      <c r="H392" s="195">
        <f t="shared" si="22"/>
        <v>2520</v>
      </c>
      <c r="I392" s="192">
        <f t="shared" si="23"/>
        <v>2660</v>
      </c>
      <c r="J392" s="196"/>
      <c r="K392" s="196"/>
      <c r="L392" s="198" t="str">
        <f>IFERROR(VLOOKUP(#REF!,'[3]0-LPM'!$A$6:$D$10668,4,0),"")</f>
        <v/>
      </c>
      <c r="M392" s="188"/>
      <c r="N392" s="198">
        <f>IFERROR(VLOOKUP(A392,'[3]0-LPM'!$A$6:$D$10668,4,0),"")</f>
        <v>0</v>
      </c>
      <c r="O392" s="190"/>
      <c r="P392" s="208"/>
      <c r="Q392" s="209"/>
    </row>
    <row r="393" spans="1:17" ht="12.2" customHeight="1" x14ac:dyDescent="0.25">
      <c r="A393" s="189" t="s">
        <v>827</v>
      </c>
      <c r="B393" s="207" t="s">
        <v>823</v>
      </c>
      <c r="C393" s="190" t="s">
        <v>828</v>
      </c>
      <c r="D393" s="191">
        <v>4700</v>
      </c>
      <c r="E393" s="192">
        <v>2900</v>
      </c>
      <c r="F393" s="193">
        <f t="shared" si="20"/>
        <v>2380</v>
      </c>
      <c r="G393" s="194">
        <f t="shared" si="21"/>
        <v>2470</v>
      </c>
      <c r="H393" s="195">
        <f t="shared" si="22"/>
        <v>2610</v>
      </c>
      <c r="I393" s="192">
        <f t="shared" si="23"/>
        <v>2760</v>
      </c>
      <c r="J393" s="196"/>
      <c r="K393" s="196"/>
      <c r="L393" s="198" t="str">
        <f>IFERROR(VLOOKUP(#REF!,'[3]0-LPM'!$A$6:$D$10668,4,0),"")</f>
        <v/>
      </c>
      <c r="M393" s="188"/>
      <c r="N393" s="198">
        <f>IFERROR(VLOOKUP(A393,'[3]0-LPM'!$A$6:$D$10668,4,0),"")</f>
        <v>789.79202222222216</v>
      </c>
      <c r="O393" s="190"/>
      <c r="P393" s="208"/>
      <c r="Q393" s="209"/>
    </row>
    <row r="394" spans="1:17" ht="12.2" customHeight="1" x14ac:dyDescent="0.25">
      <c r="A394" s="189" t="s">
        <v>829</v>
      </c>
      <c r="B394" s="207" t="s">
        <v>823</v>
      </c>
      <c r="C394" s="190" t="s">
        <v>830</v>
      </c>
      <c r="D394" s="191">
        <v>4700</v>
      </c>
      <c r="E394" s="192">
        <v>2900</v>
      </c>
      <c r="F394" s="193">
        <f t="shared" si="20"/>
        <v>2380</v>
      </c>
      <c r="G394" s="194">
        <f t="shared" si="21"/>
        <v>2470</v>
      </c>
      <c r="H394" s="195">
        <f t="shared" si="22"/>
        <v>2610</v>
      </c>
      <c r="I394" s="192">
        <f t="shared" si="23"/>
        <v>2760</v>
      </c>
      <c r="J394" s="196"/>
      <c r="K394" s="196"/>
      <c r="L394" s="198" t="str">
        <f>IFERROR(VLOOKUP(#REF!,'[3]0-LPM'!$A$6:$D$10668,4,0),"")</f>
        <v/>
      </c>
      <c r="M394" s="188"/>
      <c r="N394" s="198">
        <f>IFERROR(VLOOKUP(A394,'[3]0-LPM'!$A$6:$D$10668,4,0),"")</f>
        <v>599.39675952380958</v>
      </c>
      <c r="O394" s="190"/>
      <c r="P394" s="208"/>
      <c r="Q394" s="209"/>
    </row>
    <row r="395" spans="1:17" ht="12.2" customHeight="1" x14ac:dyDescent="0.25">
      <c r="A395" s="189" t="s">
        <v>831</v>
      </c>
      <c r="B395" s="207" t="s">
        <v>823</v>
      </c>
      <c r="C395" s="190" t="s">
        <v>832</v>
      </c>
      <c r="D395" s="191">
        <v>5600</v>
      </c>
      <c r="E395" s="192">
        <v>3300</v>
      </c>
      <c r="F395" s="193">
        <f t="shared" si="20"/>
        <v>2710</v>
      </c>
      <c r="G395" s="194">
        <f t="shared" si="21"/>
        <v>2810</v>
      </c>
      <c r="H395" s="195">
        <f t="shared" si="22"/>
        <v>2970</v>
      </c>
      <c r="I395" s="192">
        <f t="shared" si="23"/>
        <v>3140</v>
      </c>
      <c r="J395" s="196"/>
      <c r="K395" s="196"/>
      <c r="L395" s="198" t="str">
        <f>IFERROR(VLOOKUP(#REF!,'[3]0-LPM'!$A$6:$D$10668,4,0),"")</f>
        <v/>
      </c>
      <c r="M395" s="188"/>
      <c r="N395" s="198">
        <f>IFERROR(VLOOKUP(A395,'[3]0-LPM'!$A$6:$D$10668,4,0),"")</f>
        <v>789.79202222222216</v>
      </c>
      <c r="O395" s="190"/>
      <c r="P395" s="208"/>
      <c r="Q395" s="209"/>
    </row>
    <row r="396" spans="1:17" ht="12.2" customHeight="1" x14ac:dyDescent="0.25">
      <c r="A396" s="189" t="s">
        <v>833</v>
      </c>
      <c r="B396" s="207" t="s">
        <v>823</v>
      </c>
      <c r="C396" s="190" t="s">
        <v>834</v>
      </c>
      <c r="D396" s="191">
        <v>6200</v>
      </c>
      <c r="E396" s="192">
        <v>3700</v>
      </c>
      <c r="F396" s="193">
        <f t="shared" si="20"/>
        <v>3030</v>
      </c>
      <c r="G396" s="194">
        <f t="shared" si="21"/>
        <v>3150</v>
      </c>
      <c r="H396" s="195">
        <f t="shared" si="22"/>
        <v>3330</v>
      </c>
      <c r="I396" s="192">
        <f t="shared" si="23"/>
        <v>3520</v>
      </c>
      <c r="J396" s="196"/>
      <c r="K396" s="196"/>
      <c r="L396" s="198" t="str">
        <f>IFERROR(VLOOKUP(#REF!,'[3]0-LPM'!$A$6:$D$10668,4,0),"")</f>
        <v/>
      </c>
      <c r="M396" s="188"/>
      <c r="N396" s="198" t="str">
        <f>IFERROR(VLOOKUP(A396,'[3]0-LPM'!$A$6:$D$10668,4,0),"")</f>
        <v/>
      </c>
      <c r="O396" s="190"/>
      <c r="P396" s="208"/>
      <c r="Q396" s="209"/>
    </row>
    <row r="397" spans="1:17" ht="12.2" customHeight="1" x14ac:dyDescent="0.25">
      <c r="A397" s="189" t="s">
        <v>835</v>
      </c>
      <c r="B397" s="207" t="s">
        <v>823</v>
      </c>
      <c r="C397" s="190" t="s">
        <v>836</v>
      </c>
      <c r="D397" s="191">
        <v>6200</v>
      </c>
      <c r="E397" s="192">
        <v>3700</v>
      </c>
      <c r="F397" s="193">
        <f t="shared" si="20"/>
        <v>3030</v>
      </c>
      <c r="G397" s="194">
        <f t="shared" si="21"/>
        <v>3150</v>
      </c>
      <c r="H397" s="195">
        <f t="shared" si="22"/>
        <v>3330</v>
      </c>
      <c r="I397" s="192">
        <f t="shared" si="23"/>
        <v>3520</v>
      </c>
      <c r="J397" s="196"/>
      <c r="K397" s="196"/>
      <c r="L397" s="198" t="str">
        <f>IFERROR(VLOOKUP(#REF!,'[3]0-LPM'!$A$6:$D$10668,4,0),"")</f>
        <v/>
      </c>
      <c r="M397" s="188"/>
      <c r="N397" s="198" t="str">
        <f>IFERROR(VLOOKUP(A397,'[3]0-LPM'!$A$6:$D$10668,4,0),"")</f>
        <v/>
      </c>
      <c r="O397" s="190"/>
      <c r="P397" s="208"/>
      <c r="Q397" s="209"/>
    </row>
    <row r="398" spans="1:17" ht="12.2" customHeight="1" x14ac:dyDescent="0.25">
      <c r="A398" s="189" t="s">
        <v>837</v>
      </c>
      <c r="B398" s="207" t="s">
        <v>823</v>
      </c>
      <c r="C398" s="190" t="s">
        <v>838</v>
      </c>
      <c r="D398" s="191">
        <v>3300</v>
      </c>
      <c r="E398" s="192">
        <v>2000</v>
      </c>
      <c r="F398" s="193">
        <f t="shared" si="20"/>
        <v>1640</v>
      </c>
      <c r="G398" s="194">
        <f t="shared" si="21"/>
        <v>1700</v>
      </c>
      <c r="H398" s="195">
        <f t="shared" si="22"/>
        <v>1800</v>
      </c>
      <c r="I398" s="192">
        <f t="shared" si="23"/>
        <v>1900</v>
      </c>
      <c r="J398" s="196"/>
      <c r="K398" s="196"/>
      <c r="L398" s="198" t="str">
        <f>IFERROR(VLOOKUP(#REF!,'[3]0-LPM'!$A$6:$D$10668,4,0),"")</f>
        <v/>
      </c>
      <c r="M398" s="188"/>
      <c r="N398" s="198" t="str">
        <f>IFERROR(VLOOKUP(A398,'[3]0-LPM'!$A$6:$D$10668,4,0),"")</f>
        <v/>
      </c>
      <c r="O398" s="190"/>
      <c r="P398" s="208"/>
      <c r="Q398" s="209"/>
    </row>
    <row r="399" spans="1:17" ht="12.2" customHeight="1" x14ac:dyDescent="0.25">
      <c r="A399" s="189" t="s">
        <v>839</v>
      </c>
      <c r="B399" s="207" t="s">
        <v>823</v>
      </c>
      <c r="C399" s="190" t="s">
        <v>840</v>
      </c>
      <c r="D399" s="191">
        <v>3400</v>
      </c>
      <c r="E399" s="192">
        <v>2100</v>
      </c>
      <c r="F399" s="193">
        <f t="shared" si="20"/>
        <v>1720</v>
      </c>
      <c r="G399" s="194">
        <f t="shared" si="21"/>
        <v>1790</v>
      </c>
      <c r="H399" s="195">
        <f t="shared" si="22"/>
        <v>1890</v>
      </c>
      <c r="I399" s="192">
        <f t="shared" si="23"/>
        <v>2000</v>
      </c>
      <c r="J399" s="196"/>
      <c r="K399" s="196"/>
      <c r="L399" s="198" t="str">
        <f>IFERROR(VLOOKUP(#REF!,'[3]0-LPM'!$A$6:$D$10668,4,0),"")</f>
        <v/>
      </c>
      <c r="M399" s="188"/>
      <c r="N399" s="198" t="str">
        <f>IFERROR(VLOOKUP(A399,'[3]0-LPM'!$A$6:$D$10668,4,0),"")</f>
        <v/>
      </c>
      <c r="O399" s="190"/>
      <c r="P399" s="208"/>
      <c r="Q399" s="209"/>
    </row>
    <row r="400" spans="1:17" ht="12.2" customHeight="1" x14ac:dyDescent="0.25">
      <c r="A400" s="189" t="s">
        <v>841</v>
      </c>
      <c r="B400" s="207" t="s">
        <v>823</v>
      </c>
      <c r="C400" s="190" t="s">
        <v>842</v>
      </c>
      <c r="D400" s="191">
        <v>3400</v>
      </c>
      <c r="E400" s="192">
        <v>2100</v>
      </c>
      <c r="F400" s="193">
        <f t="shared" si="20"/>
        <v>1720</v>
      </c>
      <c r="G400" s="194">
        <f t="shared" si="21"/>
        <v>1790</v>
      </c>
      <c r="H400" s="195">
        <f t="shared" si="22"/>
        <v>1890</v>
      </c>
      <c r="I400" s="192">
        <f t="shared" si="23"/>
        <v>2000</v>
      </c>
      <c r="J400" s="196"/>
      <c r="K400" s="196"/>
      <c r="L400" s="198" t="str">
        <f>IFERROR(VLOOKUP(#REF!,'[3]0-LPM'!$A$6:$D$10668,4,0),"")</f>
        <v/>
      </c>
      <c r="M400" s="188"/>
      <c r="N400" s="198" t="str">
        <f>IFERROR(VLOOKUP(A400,'[3]0-LPM'!$A$6:$D$10668,4,0),"")</f>
        <v/>
      </c>
      <c r="O400" s="190"/>
      <c r="P400" s="208"/>
      <c r="Q400" s="209"/>
    </row>
    <row r="401" spans="1:17" ht="12.2" customHeight="1" x14ac:dyDescent="0.25">
      <c r="A401" s="189" t="s">
        <v>843</v>
      </c>
      <c r="B401" s="207" t="s">
        <v>823</v>
      </c>
      <c r="C401" s="190" t="s">
        <v>844</v>
      </c>
      <c r="D401" s="191">
        <v>5200</v>
      </c>
      <c r="E401" s="192">
        <v>3200</v>
      </c>
      <c r="F401" s="193">
        <f t="shared" si="20"/>
        <v>2620</v>
      </c>
      <c r="G401" s="194">
        <f t="shared" si="21"/>
        <v>2720</v>
      </c>
      <c r="H401" s="195">
        <f t="shared" si="22"/>
        <v>2880</v>
      </c>
      <c r="I401" s="192">
        <f t="shared" si="23"/>
        <v>3040</v>
      </c>
      <c r="J401" s="196"/>
      <c r="K401" s="196"/>
      <c r="L401" s="198" t="str">
        <f>IFERROR(VLOOKUP(#REF!,'[3]0-LPM'!$A$6:$D$10668,4,0),"")</f>
        <v/>
      </c>
      <c r="M401" s="188"/>
      <c r="N401" s="198" t="str">
        <f>IFERROR(VLOOKUP(A401,'[3]0-LPM'!$A$6:$D$10668,4,0),"")</f>
        <v/>
      </c>
      <c r="O401" s="190"/>
      <c r="P401" s="208"/>
      <c r="Q401" s="209"/>
    </row>
    <row r="402" spans="1:17" ht="12.2" customHeight="1" x14ac:dyDescent="0.25">
      <c r="A402" s="204"/>
      <c r="B402" s="205"/>
      <c r="C402" s="206" t="str">
        <f>+B403</f>
        <v>PASTELITOS</v>
      </c>
      <c r="D402" s="191">
        <v>0</v>
      </c>
      <c r="E402" s="192">
        <v>0</v>
      </c>
      <c r="F402" s="193">
        <f t="shared" si="20"/>
        <v>0</v>
      </c>
      <c r="G402" s="194">
        <f t="shared" si="21"/>
        <v>0</v>
      </c>
      <c r="H402" s="195">
        <f t="shared" si="22"/>
        <v>0</v>
      </c>
      <c r="I402" s="192">
        <f t="shared" si="23"/>
        <v>0</v>
      </c>
      <c r="J402" s="196"/>
      <c r="K402" s="196"/>
      <c r="L402" s="198" t="str">
        <f>IFERROR(VLOOKUP(#REF!,'[3]0-LPM'!$A$6:$D$10668,4,0),"")</f>
        <v/>
      </c>
      <c r="M402" s="188"/>
      <c r="N402" s="198" t="str">
        <f>IFERROR(VLOOKUP(A402,'[3]0-LPM'!$A$6:$D$10668,4,0),"")</f>
        <v/>
      </c>
      <c r="O402" s="206"/>
    </row>
    <row r="403" spans="1:17" ht="12.2" customHeight="1" x14ac:dyDescent="0.25">
      <c r="A403" s="213" t="s">
        <v>845</v>
      </c>
      <c r="B403" s="214" t="s">
        <v>846</v>
      </c>
      <c r="C403" s="214" t="s">
        <v>846</v>
      </c>
      <c r="D403" s="191">
        <v>2900</v>
      </c>
      <c r="E403" s="192">
        <v>1900</v>
      </c>
      <c r="F403" s="193">
        <f t="shared" si="20"/>
        <v>1560</v>
      </c>
      <c r="G403" s="194">
        <f t="shared" si="21"/>
        <v>1620</v>
      </c>
      <c r="H403" s="195">
        <f t="shared" si="22"/>
        <v>1710</v>
      </c>
      <c r="I403" s="192">
        <f t="shared" si="23"/>
        <v>1810</v>
      </c>
      <c r="J403" s="196"/>
      <c r="K403" s="196"/>
      <c r="L403" s="198" t="str">
        <f>IFERROR(VLOOKUP(#REF!,'[3]0-LPM'!$A$6:$D$10668,4,0),"")</f>
        <v/>
      </c>
      <c r="M403" s="188"/>
      <c r="N403" s="198">
        <f>IFERROR(VLOOKUP(A403,'[3]0-LPM'!$A$6:$D$10668,4,0),"")</f>
        <v>0</v>
      </c>
      <c r="O403" s="214"/>
    </row>
    <row r="404" spans="1:17" ht="12.2" customHeight="1" x14ac:dyDescent="0.25">
      <c r="A404" s="213" t="s">
        <v>847</v>
      </c>
      <c r="B404" s="214" t="s">
        <v>846</v>
      </c>
      <c r="C404" s="214" t="s">
        <v>848</v>
      </c>
      <c r="D404" s="191">
        <v>30300</v>
      </c>
      <c r="E404" s="192">
        <v>22800</v>
      </c>
      <c r="F404" s="193">
        <f t="shared" si="20"/>
        <v>18700</v>
      </c>
      <c r="G404" s="194">
        <f t="shared" si="21"/>
        <v>19380</v>
      </c>
      <c r="H404" s="195">
        <f t="shared" si="22"/>
        <v>20520</v>
      </c>
      <c r="I404" s="192">
        <f t="shared" si="23"/>
        <v>21660</v>
      </c>
      <c r="J404" s="196"/>
      <c r="K404" s="196"/>
      <c r="L404" s="198" t="str">
        <f>IFERROR(VLOOKUP(#REF!,'[3]0-LPM'!$A$6:$D$10668,4,0),"")</f>
        <v/>
      </c>
      <c r="M404" s="188"/>
      <c r="N404" s="198">
        <f>IFERROR(VLOOKUP(A404,'[3]0-LPM'!$A$6:$D$10668,4,0),"")</f>
        <v>0</v>
      </c>
      <c r="O404" s="214"/>
    </row>
    <row r="405" spans="1:17" ht="12.2" customHeight="1" x14ac:dyDescent="0.25">
      <c r="A405" s="204"/>
      <c r="B405" s="205"/>
      <c r="C405" s="206" t="str">
        <f>+B406</f>
        <v>CAFETERIA PARA LLEVAR</v>
      </c>
      <c r="D405" s="191">
        <v>0</v>
      </c>
      <c r="E405" s="192">
        <v>0</v>
      </c>
      <c r="F405" s="193">
        <f t="shared" si="20"/>
        <v>0</v>
      </c>
      <c r="G405" s="194">
        <f t="shared" si="21"/>
        <v>0</v>
      </c>
      <c r="H405" s="195">
        <f t="shared" si="22"/>
        <v>0</v>
      </c>
      <c r="I405" s="192">
        <f t="shared" si="23"/>
        <v>0</v>
      </c>
      <c r="J405" s="196"/>
      <c r="K405" s="196"/>
      <c r="L405" s="198" t="str">
        <f>IFERROR(VLOOKUP(#REF!,'[3]0-LPM'!$A$6:$D$10668,4,0),"")</f>
        <v/>
      </c>
      <c r="M405" s="188"/>
      <c r="N405" s="198" t="str">
        <f>IFERROR(VLOOKUP(A405,'[3]0-LPM'!$A$6:$D$10668,4,0),"")</f>
        <v/>
      </c>
      <c r="O405" s="206"/>
    </row>
    <row r="406" spans="1:17" ht="12.2" customHeight="1" x14ac:dyDescent="0.25">
      <c r="A406" s="189" t="s">
        <v>849</v>
      </c>
      <c r="B406" s="207" t="s">
        <v>850</v>
      </c>
      <c r="C406" s="190" t="s">
        <v>851</v>
      </c>
      <c r="D406" s="191">
        <v>4700</v>
      </c>
      <c r="E406" s="192">
        <v>0</v>
      </c>
      <c r="F406" s="193">
        <f t="shared" si="20"/>
        <v>0</v>
      </c>
      <c r="G406" s="194">
        <f t="shared" si="21"/>
        <v>0</v>
      </c>
      <c r="H406" s="195">
        <f t="shared" si="22"/>
        <v>0</v>
      </c>
      <c r="I406" s="192">
        <f t="shared" si="23"/>
        <v>0</v>
      </c>
      <c r="J406" s="196"/>
      <c r="K406" s="196"/>
      <c r="L406" s="198" t="str">
        <f>IFERROR(VLOOKUP(#REF!,'[3]0-LPM'!$A$6:$D$10668,4,0),"")</f>
        <v/>
      </c>
      <c r="M406" s="188"/>
      <c r="N406" s="198">
        <f>IFERROR(VLOOKUP(A406,'[3]0-LPM'!$A$6:$D$10668,4,0),"")</f>
        <v>0</v>
      </c>
      <c r="O406" s="190"/>
    </row>
    <row r="407" spans="1:17" ht="12.2" customHeight="1" x14ac:dyDescent="0.25">
      <c r="A407" s="189" t="s">
        <v>852</v>
      </c>
      <c r="B407" s="207" t="s">
        <v>850</v>
      </c>
      <c r="C407" s="190" t="s">
        <v>853</v>
      </c>
      <c r="D407" s="191">
        <v>5500</v>
      </c>
      <c r="E407" s="192">
        <v>0</v>
      </c>
      <c r="F407" s="193">
        <f t="shared" si="20"/>
        <v>0</v>
      </c>
      <c r="G407" s="194">
        <f t="shared" si="21"/>
        <v>0</v>
      </c>
      <c r="H407" s="195">
        <f t="shared" si="22"/>
        <v>0</v>
      </c>
      <c r="I407" s="192">
        <f t="shared" si="23"/>
        <v>0</v>
      </c>
      <c r="J407" s="196"/>
      <c r="K407" s="196"/>
      <c r="L407" s="198" t="str">
        <f>IFERROR(VLOOKUP(#REF!,'[3]0-LPM'!$A$6:$D$10668,4,0),"")</f>
        <v/>
      </c>
      <c r="M407" s="188"/>
      <c r="N407" s="198">
        <f>IFERROR(VLOOKUP(A407,'[3]0-LPM'!$A$6:$D$10668,4,0),"")</f>
        <v>0</v>
      </c>
      <c r="O407" s="190"/>
    </row>
    <row r="408" spans="1:17" ht="12.2" customHeight="1" x14ac:dyDescent="0.25">
      <c r="A408" s="189" t="s">
        <v>854</v>
      </c>
      <c r="B408" s="207" t="s">
        <v>850</v>
      </c>
      <c r="C408" s="190" t="s">
        <v>855</v>
      </c>
      <c r="D408" s="191">
        <v>7300</v>
      </c>
      <c r="E408" s="192">
        <v>0</v>
      </c>
      <c r="F408" s="193">
        <f t="shared" si="20"/>
        <v>0</v>
      </c>
      <c r="G408" s="194">
        <f t="shared" si="21"/>
        <v>0</v>
      </c>
      <c r="H408" s="195">
        <f t="shared" si="22"/>
        <v>0</v>
      </c>
      <c r="I408" s="192">
        <f t="shared" si="23"/>
        <v>0</v>
      </c>
      <c r="J408" s="196"/>
      <c r="K408" s="196"/>
      <c r="L408" s="198" t="str">
        <f>IFERROR(VLOOKUP(#REF!,'[3]0-LPM'!$A$6:$D$10668,4,0),"")</f>
        <v/>
      </c>
      <c r="M408" s="188"/>
      <c r="N408" s="198">
        <f>IFERROR(VLOOKUP(A408,'[3]0-LPM'!$A$6:$D$10668,4,0),"")</f>
        <v>0</v>
      </c>
      <c r="O408" s="190"/>
    </row>
    <row r="409" spans="1:17" ht="12.2" customHeight="1" x14ac:dyDescent="0.25">
      <c r="A409" s="189" t="s">
        <v>856</v>
      </c>
      <c r="B409" s="207" t="s">
        <v>850</v>
      </c>
      <c r="C409" s="190" t="s">
        <v>857</v>
      </c>
      <c r="D409" s="191">
        <v>7700</v>
      </c>
      <c r="E409" s="192">
        <v>0</v>
      </c>
      <c r="F409" s="193">
        <f t="shared" si="20"/>
        <v>0</v>
      </c>
      <c r="G409" s="194">
        <f t="shared" si="21"/>
        <v>0</v>
      </c>
      <c r="H409" s="195">
        <f t="shared" si="22"/>
        <v>0</v>
      </c>
      <c r="I409" s="192">
        <f t="shared" si="23"/>
        <v>0</v>
      </c>
      <c r="J409" s="196"/>
      <c r="K409" s="196"/>
      <c r="L409" s="198" t="str">
        <f>IFERROR(VLOOKUP(#REF!,'[3]0-LPM'!$A$6:$D$10668,4,0),"")</f>
        <v/>
      </c>
      <c r="M409" s="188"/>
      <c r="N409" s="198">
        <f>IFERROR(VLOOKUP(A409,'[3]0-LPM'!$A$6:$D$10668,4,0),"")</f>
        <v>0</v>
      </c>
      <c r="O409" s="190"/>
    </row>
    <row r="410" spans="1:17" ht="12.2" customHeight="1" x14ac:dyDescent="0.25">
      <c r="A410" s="189" t="s">
        <v>858</v>
      </c>
      <c r="B410" s="207" t="s">
        <v>850</v>
      </c>
      <c r="C410" s="190" t="s">
        <v>859</v>
      </c>
      <c r="D410" s="191">
        <v>2900</v>
      </c>
      <c r="E410" s="192">
        <v>9000</v>
      </c>
      <c r="F410" s="193">
        <f t="shared" si="20"/>
        <v>7380</v>
      </c>
      <c r="G410" s="194">
        <f t="shared" si="21"/>
        <v>7650</v>
      </c>
      <c r="H410" s="195">
        <f t="shared" si="22"/>
        <v>8100</v>
      </c>
      <c r="I410" s="192">
        <f t="shared" si="23"/>
        <v>8550</v>
      </c>
      <c r="J410" s="196"/>
      <c r="K410" s="196"/>
      <c r="L410" s="198" t="str">
        <f>IFERROR(VLOOKUP(#REF!,'[3]0-LPM'!$A$6:$D$10668,4,0),"")</f>
        <v/>
      </c>
      <c r="M410" s="188"/>
      <c r="N410" s="198">
        <f>IFERROR(VLOOKUP(A410,'[3]0-LPM'!$A$6:$D$10668,4,0),"")</f>
        <v>0</v>
      </c>
      <c r="O410" s="190"/>
    </row>
    <row r="411" spans="1:17" ht="12.2" customHeight="1" x14ac:dyDescent="0.25">
      <c r="A411" s="189" t="s">
        <v>860</v>
      </c>
      <c r="B411" s="207" t="s">
        <v>850</v>
      </c>
      <c r="C411" s="190" t="s">
        <v>861</v>
      </c>
      <c r="D411" s="191">
        <v>4700</v>
      </c>
      <c r="E411" s="192">
        <v>0</v>
      </c>
      <c r="F411" s="193">
        <f t="shared" si="20"/>
        <v>0</v>
      </c>
      <c r="G411" s="194">
        <f t="shared" si="21"/>
        <v>0</v>
      </c>
      <c r="H411" s="195">
        <f t="shared" si="22"/>
        <v>0</v>
      </c>
      <c r="I411" s="192">
        <f t="shared" si="23"/>
        <v>0</v>
      </c>
      <c r="J411" s="196"/>
      <c r="K411" s="196"/>
      <c r="L411" s="198" t="str">
        <f>IFERROR(VLOOKUP(#REF!,'[3]0-LPM'!$A$6:$D$10668,4,0),"")</f>
        <v/>
      </c>
      <c r="M411" s="188"/>
      <c r="N411" s="198" t="str">
        <f>IFERROR(VLOOKUP(A411,'[3]0-LPM'!$A$6:$D$10668,4,0),"")</f>
        <v/>
      </c>
      <c r="O411" s="190"/>
    </row>
    <row r="412" spans="1:17" ht="12.2" customHeight="1" x14ac:dyDescent="0.25">
      <c r="A412" s="204"/>
      <c r="B412" s="205"/>
      <c r="C412" s="206" t="str">
        <f>+B413</f>
        <v>REGALO</v>
      </c>
      <c r="D412" s="191">
        <v>0</v>
      </c>
      <c r="E412" s="192">
        <v>0</v>
      </c>
      <c r="F412" s="193">
        <f t="shared" si="20"/>
        <v>0</v>
      </c>
      <c r="G412" s="194">
        <f t="shared" si="21"/>
        <v>0</v>
      </c>
      <c r="H412" s="195">
        <f t="shared" si="22"/>
        <v>0</v>
      </c>
      <c r="I412" s="192">
        <f t="shared" si="23"/>
        <v>0</v>
      </c>
      <c r="J412" s="196"/>
      <c r="K412" s="196"/>
      <c r="L412" s="198" t="str">
        <f>IFERROR(VLOOKUP(#REF!,'[3]0-LPM'!$A$6:$D$10668,4,0),"")</f>
        <v/>
      </c>
      <c r="M412" s="188"/>
      <c r="N412" s="198" t="str">
        <f>IFERROR(VLOOKUP(A412,'[3]0-LPM'!$A$6:$D$10668,4,0),"")</f>
        <v/>
      </c>
      <c r="O412" s="206"/>
    </row>
    <row r="413" spans="1:17" ht="12.2" customHeight="1" x14ac:dyDescent="0.25">
      <c r="A413" s="189" t="s">
        <v>862</v>
      </c>
      <c r="B413" s="207" t="s">
        <v>863</v>
      </c>
      <c r="C413" s="190" t="s">
        <v>864</v>
      </c>
      <c r="D413" s="191">
        <v>38600</v>
      </c>
      <c r="E413" s="192">
        <v>25400</v>
      </c>
      <c r="F413" s="193">
        <f t="shared" ref="F413:F476" si="24">+ROUND(E413-H413*F$1,-1)</f>
        <v>20830</v>
      </c>
      <c r="G413" s="194">
        <f t="shared" ref="G413:G476" si="25">+ROUND(E413-E413*G$1,-1)</f>
        <v>21590</v>
      </c>
      <c r="H413" s="195">
        <f t="shared" ref="H413:H476" si="26">+ROUND(E413-E413*H$1,-1)</f>
        <v>22860</v>
      </c>
      <c r="I413" s="192">
        <f t="shared" ref="I413:I476" si="27">+ROUND(E413-E413*I$1,-1)</f>
        <v>24130</v>
      </c>
      <c r="J413" s="196"/>
      <c r="K413" s="196"/>
      <c r="L413" s="198" t="str">
        <f>IFERROR(VLOOKUP(#REF!,'[3]0-LPM'!$A$6:$D$10668,4,0),"")</f>
        <v/>
      </c>
      <c r="M413" s="188"/>
      <c r="N413" s="198">
        <f>IFERROR(VLOOKUP(A413,'[3]0-LPM'!$A$6:$D$10668,4,0),"")</f>
        <v>0</v>
      </c>
      <c r="O413" s="190"/>
    </row>
    <row r="414" spans="1:17" ht="12.2" customHeight="1" x14ac:dyDescent="0.25">
      <c r="A414" s="189" t="s">
        <v>865</v>
      </c>
      <c r="B414" s="207" t="s">
        <v>863</v>
      </c>
      <c r="C414" s="190" t="s">
        <v>866</v>
      </c>
      <c r="D414" s="191">
        <v>30300</v>
      </c>
      <c r="E414" s="192">
        <v>19100</v>
      </c>
      <c r="F414" s="193">
        <f t="shared" si="24"/>
        <v>15660</v>
      </c>
      <c r="G414" s="194">
        <f t="shared" si="25"/>
        <v>16240</v>
      </c>
      <c r="H414" s="195">
        <f t="shared" si="26"/>
        <v>17190</v>
      </c>
      <c r="I414" s="192">
        <f t="shared" si="27"/>
        <v>18150</v>
      </c>
      <c r="J414" s="196"/>
      <c r="K414" s="196"/>
      <c r="L414" s="198" t="str">
        <f>IFERROR(VLOOKUP(#REF!,'[3]0-LPM'!$A$6:$D$10668,4,0),"")</f>
        <v/>
      </c>
      <c r="M414" s="188"/>
      <c r="N414" s="198">
        <f>IFERROR(VLOOKUP(A414,'[3]0-LPM'!$A$6:$D$10668,4,0),"")</f>
        <v>0</v>
      </c>
      <c r="O414" s="190"/>
    </row>
    <row r="415" spans="1:17" ht="12.2" customHeight="1" x14ac:dyDescent="0.25">
      <c r="A415" s="204"/>
      <c r="B415" s="205"/>
      <c r="C415" s="206" t="str">
        <f>+B416</f>
        <v>GASEOSAS</v>
      </c>
      <c r="D415" s="191">
        <v>0</v>
      </c>
      <c r="E415" s="192">
        <v>0</v>
      </c>
      <c r="F415" s="193">
        <f t="shared" si="24"/>
        <v>0</v>
      </c>
      <c r="G415" s="194">
        <f t="shared" si="25"/>
        <v>0</v>
      </c>
      <c r="H415" s="195">
        <f t="shared" si="26"/>
        <v>0</v>
      </c>
      <c r="I415" s="192">
        <f t="shared" si="27"/>
        <v>0</v>
      </c>
      <c r="J415" s="196"/>
      <c r="K415" s="196"/>
      <c r="L415" s="198" t="str">
        <f>IFERROR(VLOOKUP(#REF!,'[3]0-LPM'!$A$6:$D$10668,4,0),"")</f>
        <v/>
      </c>
      <c r="M415" s="188"/>
      <c r="N415" s="198" t="str">
        <f>IFERROR(VLOOKUP(A415,'[3]0-LPM'!$A$6:$D$10668,4,0),"")</f>
        <v/>
      </c>
      <c r="O415" s="206"/>
    </row>
    <row r="416" spans="1:17" ht="12.2" customHeight="1" x14ac:dyDescent="0.25">
      <c r="A416" s="189" t="s">
        <v>867</v>
      </c>
      <c r="B416" s="207" t="s">
        <v>868</v>
      </c>
      <c r="C416" s="190" t="s">
        <v>869</v>
      </c>
      <c r="D416" s="191">
        <v>3100</v>
      </c>
      <c r="E416" s="192">
        <v>0</v>
      </c>
      <c r="F416" s="193">
        <f t="shared" si="24"/>
        <v>0</v>
      </c>
      <c r="G416" s="194">
        <f t="shared" si="25"/>
        <v>0</v>
      </c>
      <c r="H416" s="195">
        <f t="shared" si="26"/>
        <v>0</v>
      </c>
      <c r="I416" s="192">
        <f t="shared" si="27"/>
        <v>0</v>
      </c>
      <c r="J416" s="196"/>
      <c r="K416" s="196"/>
      <c r="L416" s="198" t="str">
        <f>IFERROR(VLOOKUP(#REF!,'[3]0-LPM'!$A$6:$D$10668,4,0),"")</f>
        <v/>
      </c>
      <c r="M416" s="188"/>
      <c r="N416" s="198" t="str">
        <f>IFERROR(VLOOKUP(A416,'[3]0-LPM'!$A$6:$D$10668,4,0),"")</f>
        <v/>
      </c>
      <c r="O416" s="190"/>
    </row>
    <row r="417" spans="1:15" ht="12.2" customHeight="1" x14ac:dyDescent="0.25">
      <c r="A417" s="189" t="s">
        <v>870</v>
      </c>
      <c r="B417" s="207" t="s">
        <v>868</v>
      </c>
      <c r="C417" s="190" t="s">
        <v>871</v>
      </c>
      <c r="D417" s="191">
        <v>3100</v>
      </c>
      <c r="E417" s="192">
        <v>0</v>
      </c>
      <c r="F417" s="193">
        <f t="shared" si="24"/>
        <v>0</v>
      </c>
      <c r="G417" s="194">
        <f t="shared" si="25"/>
        <v>0</v>
      </c>
      <c r="H417" s="195">
        <f t="shared" si="26"/>
        <v>0</v>
      </c>
      <c r="I417" s="192">
        <f t="shared" si="27"/>
        <v>0</v>
      </c>
      <c r="J417" s="196"/>
      <c r="K417" s="196"/>
      <c r="L417" s="198" t="str">
        <f>IFERROR(VLOOKUP(#REF!,'[3]0-LPM'!$A$6:$D$10668,4,0),"")</f>
        <v/>
      </c>
      <c r="M417" s="188"/>
      <c r="N417" s="198">
        <f>IFERROR(VLOOKUP(A417,'[3]0-LPM'!$A$6:$D$10668,4,0),"")</f>
        <v>1186.2133333333334</v>
      </c>
      <c r="O417" s="190"/>
    </row>
    <row r="418" spans="1:15" ht="12.2" customHeight="1" x14ac:dyDescent="0.25">
      <c r="A418" s="189" t="s">
        <v>872</v>
      </c>
      <c r="B418" s="207" t="s">
        <v>868</v>
      </c>
      <c r="C418" s="190" t="s">
        <v>873</v>
      </c>
      <c r="D418" s="191">
        <v>5200</v>
      </c>
      <c r="E418" s="192">
        <v>0</v>
      </c>
      <c r="F418" s="193">
        <f t="shared" si="24"/>
        <v>0</v>
      </c>
      <c r="G418" s="194">
        <f t="shared" si="25"/>
        <v>0</v>
      </c>
      <c r="H418" s="195">
        <f t="shared" si="26"/>
        <v>0</v>
      </c>
      <c r="I418" s="192">
        <f t="shared" si="27"/>
        <v>0</v>
      </c>
      <c r="J418" s="196"/>
      <c r="K418" s="196"/>
      <c r="L418" s="198" t="str">
        <f>IFERROR(VLOOKUP(#REF!,'[3]0-LPM'!$A$6:$D$10668,4,0),"")</f>
        <v/>
      </c>
      <c r="M418" s="188"/>
      <c r="N418" s="198">
        <f>IFERROR(VLOOKUP(A418,'[3]0-LPM'!$A$6:$D$10668,4,0),"")</f>
        <v>2827.1287499999999</v>
      </c>
      <c r="O418" s="190"/>
    </row>
    <row r="419" spans="1:15" ht="12.2" customHeight="1" x14ac:dyDescent="0.25">
      <c r="A419" s="189" t="s">
        <v>874</v>
      </c>
      <c r="B419" s="207" t="s">
        <v>868</v>
      </c>
      <c r="C419" s="190" t="s">
        <v>875</v>
      </c>
      <c r="D419" s="191">
        <v>3100</v>
      </c>
      <c r="E419" s="192">
        <v>0</v>
      </c>
      <c r="F419" s="193">
        <f t="shared" si="24"/>
        <v>0</v>
      </c>
      <c r="G419" s="194">
        <f t="shared" si="25"/>
        <v>0</v>
      </c>
      <c r="H419" s="195">
        <f t="shared" si="26"/>
        <v>0</v>
      </c>
      <c r="I419" s="192">
        <f t="shared" si="27"/>
        <v>0</v>
      </c>
      <c r="J419" s="196"/>
      <c r="K419" s="196"/>
      <c r="L419" s="198" t="str">
        <f>IFERROR(VLOOKUP(#REF!,'[3]0-LPM'!$A$6:$D$10668,4,0),"")</f>
        <v/>
      </c>
      <c r="M419" s="188"/>
      <c r="N419" s="198">
        <f>IFERROR(VLOOKUP(A419,'[3]0-LPM'!$A$6:$D$10668,4,0),"")</f>
        <v>942.98958333333337</v>
      </c>
      <c r="O419" s="190"/>
    </row>
    <row r="420" spans="1:15" ht="12.2" customHeight="1" x14ac:dyDescent="0.25">
      <c r="A420" s="189" t="s">
        <v>876</v>
      </c>
      <c r="B420" s="207" t="s">
        <v>868</v>
      </c>
      <c r="C420" s="190" t="s">
        <v>877</v>
      </c>
      <c r="D420" s="191">
        <v>5200</v>
      </c>
      <c r="E420" s="192">
        <v>0</v>
      </c>
      <c r="F420" s="193">
        <f t="shared" si="24"/>
        <v>0</v>
      </c>
      <c r="G420" s="194">
        <f t="shared" si="25"/>
        <v>0</v>
      </c>
      <c r="H420" s="195">
        <f t="shared" si="26"/>
        <v>0</v>
      </c>
      <c r="I420" s="192">
        <f t="shared" si="27"/>
        <v>0</v>
      </c>
      <c r="J420" s="196"/>
      <c r="K420" s="196"/>
      <c r="L420" s="198" t="str">
        <f>IFERROR(VLOOKUP(#REF!,'[3]0-LPM'!$A$6:$D$10668,4,0),"")</f>
        <v/>
      </c>
      <c r="M420" s="188"/>
      <c r="N420" s="198">
        <f>IFERROR(VLOOKUP(A420,'[3]0-LPM'!$A$6:$D$10668,4,0),"")</f>
        <v>1796.3966666666665</v>
      </c>
      <c r="O420" s="190"/>
    </row>
    <row r="421" spans="1:15" ht="12.2" customHeight="1" x14ac:dyDescent="0.25">
      <c r="A421" s="189" t="s">
        <v>878</v>
      </c>
      <c r="B421" s="207" t="s">
        <v>868</v>
      </c>
      <c r="C421" s="190" t="s">
        <v>879</v>
      </c>
      <c r="D421" s="191">
        <v>3100</v>
      </c>
      <c r="E421" s="192">
        <v>0</v>
      </c>
      <c r="F421" s="193">
        <f t="shared" si="24"/>
        <v>0</v>
      </c>
      <c r="G421" s="194">
        <f t="shared" si="25"/>
        <v>0</v>
      </c>
      <c r="H421" s="195">
        <f t="shared" si="26"/>
        <v>0</v>
      </c>
      <c r="I421" s="192">
        <f t="shared" si="27"/>
        <v>0</v>
      </c>
      <c r="J421" s="196"/>
      <c r="K421" s="196"/>
      <c r="L421" s="198" t="str">
        <f>IFERROR(VLOOKUP(#REF!,'[3]0-LPM'!$A$6:$D$10668,4,0),"")</f>
        <v/>
      </c>
      <c r="M421" s="188"/>
      <c r="N421" s="198">
        <f>IFERROR(VLOOKUP(A421,'[3]0-LPM'!$A$6:$D$10668,4,0),"")</f>
        <v>1137.855</v>
      </c>
      <c r="O421" s="190"/>
    </row>
    <row r="422" spans="1:15" ht="12.2" customHeight="1" x14ac:dyDescent="0.25">
      <c r="A422" s="189" t="s">
        <v>880</v>
      </c>
      <c r="B422" s="207" t="s">
        <v>868</v>
      </c>
      <c r="C422" s="190" t="s">
        <v>881</v>
      </c>
      <c r="D422" s="191">
        <v>0</v>
      </c>
      <c r="E422" s="192">
        <v>0</v>
      </c>
      <c r="F422" s="193">
        <f t="shared" si="24"/>
        <v>0</v>
      </c>
      <c r="G422" s="194">
        <f t="shared" si="25"/>
        <v>0</v>
      </c>
      <c r="H422" s="195">
        <f t="shared" si="26"/>
        <v>0</v>
      </c>
      <c r="I422" s="192">
        <f t="shared" si="27"/>
        <v>0</v>
      </c>
      <c r="J422" s="196"/>
      <c r="K422" s="196"/>
      <c r="L422" s="198" t="str">
        <f>IFERROR(VLOOKUP(#REF!,'[3]0-LPM'!$A$6:$D$10668,4,0),"")</f>
        <v/>
      </c>
      <c r="M422" s="188"/>
      <c r="N422" s="198" t="str">
        <f>IFERROR(VLOOKUP(A422,'[3]0-LPM'!$A$6:$D$10668,4,0),"")</f>
        <v/>
      </c>
      <c r="O422" s="190"/>
    </row>
    <row r="423" spans="1:15" ht="12.2" customHeight="1" x14ac:dyDescent="0.25">
      <c r="A423" s="189" t="s">
        <v>882</v>
      </c>
      <c r="B423" s="207" t="s">
        <v>868</v>
      </c>
      <c r="C423" s="190" t="s">
        <v>883</v>
      </c>
      <c r="D423" s="191">
        <v>2100</v>
      </c>
      <c r="E423" s="192">
        <v>0</v>
      </c>
      <c r="F423" s="193">
        <f t="shared" si="24"/>
        <v>0</v>
      </c>
      <c r="G423" s="194">
        <f t="shared" si="25"/>
        <v>0</v>
      </c>
      <c r="H423" s="195">
        <f t="shared" si="26"/>
        <v>0</v>
      </c>
      <c r="I423" s="192">
        <f t="shared" si="27"/>
        <v>0</v>
      </c>
      <c r="J423" s="196"/>
      <c r="K423" s="196"/>
      <c r="L423" s="198" t="str">
        <f>IFERROR(VLOOKUP(#REF!,'[3]0-LPM'!$A$6:$D$10668,4,0),"")</f>
        <v/>
      </c>
      <c r="M423" s="188"/>
      <c r="N423" s="198">
        <f>IFERROR(VLOOKUP(A423,'[3]0-LPM'!$A$6:$D$10668,4,0),"")</f>
        <v>0</v>
      </c>
      <c r="O423" s="190"/>
    </row>
    <row r="424" spans="1:15" ht="12.2" customHeight="1" x14ac:dyDescent="0.25">
      <c r="A424" s="189" t="s">
        <v>884</v>
      </c>
      <c r="B424" s="207" t="s">
        <v>868</v>
      </c>
      <c r="C424" s="190" t="s">
        <v>885</v>
      </c>
      <c r="D424" s="191">
        <v>2100</v>
      </c>
      <c r="E424" s="192">
        <v>0</v>
      </c>
      <c r="F424" s="193">
        <f t="shared" si="24"/>
        <v>0</v>
      </c>
      <c r="G424" s="194">
        <f t="shared" si="25"/>
        <v>0</v>
      </c>
      <c r="H424" s="195">
        <f t="shared" si="26"/>
        <v>0</v>
      </c>
      <c r="I424" s="192">
        <f t="shared" si="27"/>
        <v>0</v>
      </c>
      <c r="J424" s="196"/>
      <c r="K424" s="196"/>
      <c r="L424" s="198" t="str">
        <f>IFERROR(VLOOKUP(#REF!,'[3]0-LPM'!$A$6:$D$10668,4,0),"")</f>
        <v/>
      </c>
      <c r="M424" s="188"/>
      <c r="N424" s="198">
        <f>IFERROR(VLOOKUP(A424,'[3]0-LPM'!$A$6:$D$10668,4,0),"")</f>
        <v>1201.8625</v>
      </c>
      <c r="O424" s="190"/>
    </row>
    <row r="425" spans="1:15" ht="12.2" customHeight="1" x14ac:dyDescent="0.25">
      <c r="A425" s="189" t="s">
        <v>886</v>
      </c>
      <c r="B425" s="207" t="s">
        <v>868</v>
      </c>
      <c r="C425" s="190" t="s">
        <v>887</v>
      </c>
      <c r="D425" s="191">
        <v>4500</v>
      </c>
      <c r="E425" s="192">
        <v>0</v>
      </c>
      <c r="F425" s="193">
        <f t="shared" si="24"/>
        <v>0</v>
      </c>
      <c r="G425" s="194">
        <f t="shared" si="25"/>
        <v>0</v>
      </c>
      <c r="H425" s="195">
        <f t="shared" si="26"/>
        <v>0</v>
      </c>
      <c r="I425" s="192">
        <f t="shared" si="27"/>
        <v>0</v>
      </c>
      <c r="J425" s="196"/>
      <c r="K425" s="196"/>
      <c r="L425" s="198" t="str">
        <f>IFERROR(VLOOKUP(#REF!,'[3]0-LPM'!$A$6:$D$10668,4,0),"")</f>
        <v/>
      </c>
      <c r="M425" s="188"/>
      <c r="N425" s="198">
        <f>IFERROR(VLOOKUP(A425,'[3]0-LPM'!$A$6:$D$10668,4,0),"")</f>
        <v>1406.0333333333335</v>
      </c>
      <c r="O425" s="190"/>
    </row>
    <row r="426" spans="1:15" ht="12.2" customHeight="1" x14ac:dyDescent="0.25">
      <c r="A426" s="189" t="s">
        <v>888</v>
      </c>
      <c r="B426" s="207" t="s">
        <v>868</v>
      </c>
      <c r="C426" s="190" t="s">
        <v>889</v>
      </c>
      <c r="D426" s="191">
        <v>2100</v>
      </c>
      <c r="E426" s="192">
        <v>0</v>
      </c>
      <c r="F426" s="193">
        <f t="shared" si="24"/>
        <v>0</v>
      </c>
      <c r="G426" s="194">
        <f t="shared" si="25"/>
        <v>0</v>
      </c>
      <c r="H426" s="195">
        <f t="shared" si="26"/>
        <v>0</v>
      </c>
      <c r="I426" s="192">
        <f t="shared" si="27"/>
        <v>0</v>
      </c>
      <c r="J426" s="196"/>
      <c r="K426" s="196"/>
      <c r="L426" s="198" t="str">
        <f>IFERROR(VLOOKUP(#REF!,'[3]0-LPM'!$A$6:$D$10668,4,0),"")</f>
        <v/>
      </c>
      <c r="M426" s="188"/>
      <c r="N426" s="198">
        <f>IFERROR(VLOOKUP(A426,'[3]0-LPM'!$A$6:$D$10668,4,0),"")</f>
        <v>887.70333333333338</v>
      </c>
      <c r="O426" s="190"/>
    </row>
    <row r="427" spans="1:15" ht="12.2" customHeight="1" x14ac:dyDescent="0.25">
      <c r="A427" s="189" t="s">
        <v>890</v>
      </c>
      <c r="B427" s="207" t="s">
        <v>868</v>
      </c>
      <c r="C427" s="190" t="s">
        <v>891</v>
      </c>
      <c r="D427" s="191">
        <v>3400</v>
      </c>
      <c r="E427" s="192">
        <v>0</v>
      </c>
      <c r="F427" s="193">
        <f t="shared" si="24"/>
        <v>0</v>
      </c>
      <c r="G427" s="194">
        <f t="shared" si="25"/>
        <v>0</v>
      </c>
      <c r="H427" s="195">
        <f t="shared" si="26"/>
        <v>0</v>
      </c>
      <c r="I427" s="192">
        <f t="shared" si="27"/>
        <v>0</v>
      </c>
      <c r="J427" s="196"/>
      <c r="K427" s="196"/>
      <c r="L427" s="198" t="str">
        <f>IFERROR(VLOOKUP(#REF!,'[3]0-LPM'!$A$6:$D$10668,4,0),"")</f>
        <v/>
      </c>
      <c r="M427" s="188"/>
      <c r="N427" s="198">
        <f>IFERROR(VLOOKUP(A427,'[3]0-LPM'!$A$6:$D$10668,4,0),"")</f>
        <v>1309.7166666666667</v>
      </c>
      <c r="O427" s="190"/>
    </row>
    <row r="428" spans="1:15" ht="12.2" customHeight="1" x14ac:dyDescent="0.25">
      <c r="A428" s="189" t="s">
        <v>892</v>
      </c>
      <c r="B428" s="207" t="s">
        <v>868</v>
      </c>
      <c r="C428" s="190" t="s">
        <v>893</v>
      </c>
      <c r="D428" s="191">
        <v>3300</v>
      </c>
      <c r="E428" s="192">
        <v>0</v>
      </c>
      <c r="F428" s="193">
        <f t="shared" si="24"/>
        <v>0</v>
      </c>
      <c r="G428" s="194">
        <f t="shared" si="25"/>
        <v>0</v>
      </c>
      <c r="H428" s="195">
        <f t="shared" si="26"/>
        <v>0</v>
      </c>
      <c r="I428" s="192">
        <f t="shared" si="27"/>
        <v>0</v>
      </c>
      <c r="J428" s="196"/>
      <c r="K428" s="196"/>
      <c r="L428" s="198" t="str">
        <f>IFERROR(VLOOKUP(#REF!,'[3]0-LPM'!$A$6:$D$10668,4,0),"")</f>
        <v/>
      </c>
      <c r="M428" s="188"/>
      <c r="N428" s="198">
        <f>IFERROR(VLOOKUP(A428,'[3]0-LPM'!$A$6:$D$10668,4,0),"")</f>
        <v>0</v>
      </c>
      <c r="O428" s="190"/>
    </row>
    <row r="429" spans="1:15" ht="12.2" customHeight="1" x14ac:dyDescent="0.25">
      <c r="A429" s="189" t="s">
        <v>894</v>
      </c>
      <c r="B429" s="207" t="s">
        <v>868</v>
      </c>
      <c r="C429" s="190" t="s">
        <v>895</v>
      </c>
      <c r="D429" s="191">
        <v>2300</v>
      </c>
      <c r="E429" s="192">
        <v>0</v>
      </c>
      <c r="F429" s="193">
        <f t="shared" si="24"/>
        <v>0</v>
      </c>
      <c r="G429" s="194">
        <f t="shared" si="25"/>
        <v>0</v>
      </c>
      <c r="H429" s="195">
        <f t="shared" si="26"/>
        <v>0</v>
      </c>
      <c r="I429" s="192">
        <f t="shared" si="27"/>
        <v>0</v>
      </c>
      <c r="J429" s="196"/>
      <c r="K429" s="196"/>
      <c r="L429" s="198" t="str">
        <f>IFERROR(VLOOKUP(#REF!,'[3]0-LPM'!$A$6:$D$10668,4,0),"")</f>
        <v/>
      </c>
      <c r="M429" s="188"/>
      <c r="N429" s="198">
        <f>IFERROR(VLOOKUP(A429,'[3]0-LPM'!$A$6:$D$10668,4,0),"")</f>
        <v>12</v>
      </c>
      <c r="O429" s="190"/>
    </row>
    <row r="430" spans="1:15" ht="12.2" customHeight="1" x14ac:dyDescent="0.25">
      <c r="A430" s="189" t="s">
        <v>896</v>
      </c>
      <c r="B430" s="207" t="s">
        <v>868</v>
      </c>
      <c r="C430" s="190" t="s">
        <v>897</v>
      </c>
      <c r="D430" s="191">
        <v>4500</v>
      </c>
      <c r="E430" s="192">
        <v>0</v>
      </c>
      <c r="F430" s="193">
        <f t="shared" si="24"/>
        <v>0</v>
      </c>
      <c r="G430" s="194">
        <f t="shared" si="25"/>
        <v>0</v>
      </c>
      <c r="H430" s="195">
        <f t="shared" si="26"/>
        <v>0</v>
      </c>
      <c r="I430" s="192">
        <f t="shared" si="27"/>
        <v>0</v>
      </c>
      <c r="J430" s="196"/>
      <c r="K430" s="196"/>
      <c r="L430" s="198" t="str">
        <f>IFERROR(VLOOKUP(#REF!,'[3]0-LPM'!$A$6:$D$10668,4,0),"")</f>
        <v/>
      </c>
      <c r="M430" s="188"/>
      <c r="N430" s="198">
        <f>IFERROR(VLOOKUP(A430,'[3]0-LPM'!$A$6:$D$10668,4,0),"")</f>
        <v>0</v>
      </c>
      <c r="O430" s="190"/>
    </row>
    <row r="431" spans="1:15" ht="12.2" customHeight="1" x14ac:dyDescent="0.25">
      <c r="A431" s="189" t="s">
        <v>898</v>
      </c>
      <c r="B431" s="207" t="s">
        <v>868</v>
      </c>
      <c r="C431" s="190" t="s">
        <v>899</v>
      </c>
      <c r="D431" s="191">
        <v>3100</v>
      </c>
      <c r="E431" s="192">
        <v>0</v>
      </c>
      <c r="F431" s="193">
        <f t="shared" si="24"/>
        <v>0</v>
      </c>
      <c r="G431" s="194">
        <f t="shared" si="25"/>
        <v>0</v>
      </c>
      <c r="H431" s="195">
        <f t="shared" si="26"/>
        <v>0</v>
      </c>
      <c r="I431" s="192">
        <f t="shared" si="27"/>
        <v>0</v>
      </c>
      <c r="J431" s="196"/>
      <c r="K431" s="196"/>
      <c r="L431" s="198" t="str">
        <f>IFERROR(VLOOKUP(#REF!,'[3]0-LPM'!$A$6:$D$10668,4,0),"")</f>
        <v/>
      </c>
      <c r="M431" s="188"/>
      <c r="N431" s="198">
        <f>IFERROR(VLOOKUP(A431,'[3]0-LPM'!$A$6:$D$10668,4,0),"")</f>
        <v>593.09875</v>
      </c>
      <c r="O431" s="190"/>
    </row>
    <row r="432" spans="1:15" ht="12.2" customHeight="1" x14ac:dyDescent="0.25">
      <c r="A432" s="189" t="s">
        <v>900</v>
      </c>
      <c r="B432" s="207" t="s">
        <v>868</v>
      </c>
      <c r="C432" s="190" t="s">
        <v>901</v>
      </c>
      <c r="D432" s="191">
        <v>4500</v>
      </c>
      <c r="E432" s="192">
        <v>0</v>
      </c>
      <c r="F432" s="193">
        <f t="shared" si="24"/>
        <v>0</v>
      </c>
      <c r="G432" s="194">
        <f t="shared" si="25"/>
        <v>0</v>
      </c>
      <c r="H432" s="195">
        <f t="shared" si="26"/>
        <v>0</v>
      </c>
      <c r="I432" s="192">
        <f t="shared" si="27"/>
        <v>0</v>
      </c>
      <c r="J432" s="196"/>
      <c r="K432" s="196"/>
      <c r="L432" s="198" t="str">
        <f>IFERROR(VLOOKUP(#REF!,'[3]0-LPM'!$A$6:$D$10668,4,0),"")</f>
        <v/>
      </c>
      <c r="M432" s="188"/>
      <c r="N432" s="198">
        <f>IFERROR(VLOOKUP(A432,'[3]0-LPM'!$A$6:$D$10668,4,0),"")</f>
        <v>1730</v>
      </c>
      <c r="O432" s="190"/>
    </row>
    <row r="433" spans="1:15" ht="12.2" customHeight="1" x14ac:dyDescent="0.25">
      <c r="A433" s="189" t="s">
        <v>902</v>
      </c>
      <c r="B433" s="207" t="s">
        <v>868</v>
      </c>
      <c r="C433" s="190" t="s">
        <v>903</v>
      </c>
      <c r="D433" s="191">
        <v>2100</v>
      </c>
      <c r="E433" s="192">
        <v>0</v>
      </c>
      <c r="F433" s="193">
        <f t="shared" si="24"/>
        <v>0</v>
      </c>
      <c r="G433" s="194">
        <f t="shared" si="25"/>
        <v>0</v>
      </c>
      <c r="H433" s="195">
        <f t="shared" si="26"/>
        <v>0</v>
      </c>
      <c r="I433" s="192">
        <f t="shared" si="27"/>
        <v>0</v>
      </c>
      <c r="J433" s="196"/>
      <c r="K433" s="196"/>
      <c r="L433" s="198" t="str">
        <f>IFERROR(VLOOKUP(#REF!,'[3]0-LPM'!$A$6:$D$10668,4,0),"")</f>
        <v/>
      </c>
      <c r="M433" s="188"/>
      <c r="N433" s="198">
        <f>IFERROR(VLOOKUP(A433,'[3]0-LPM'!$A$6:$D$10668,4,0),"")</f>
        <v>941.1</v>
      </c>
      <c r="O433" s="190"/>
    </row>
    <row r="434" spans="1:15" ht="12.2" customHeight="1" x14ac:dyDescent="0.25">
      <c r="A434" s="189" t="s">
        <v>904</v>
      </c>
      <c r="B434" s="207" t="s">
        <v>868</v>
      </c>
      <c r="C434" s="190" t="s">
        <v>905</v>
      </c>
      <c r="D434" s="191">
        <v>5200</v>
      </c>
      <c r="E434" s="192">
        <v>0</v>
      </c>
      <c r="F434" s="193">
        <f t="shared" si="24"/>
        <v>0</v>
      </c>
      <c r="G434" s="194">
        <f t="shared" si="25"/>
        <v>0</v>
      </c>
      <c r="H434" s="195">
        <f t="shared" si="26"/>
        <v>0</v>
      </c>
      <c r="I434" s="192">
        <f t="shared" si="27"/>
        <v>0</v>
      </c>
      <c r="J434" s="196"/>
      <c r="K434" s="196"/>
      <c r="L434" s="198" t="str">
        <f>IFERROR(VLOOKUP(#REF!,'[3]0-LPM'!$A$6:$D$10668,4,0),"")</f>
        <v/>
      </c>
      <c r="M434" s="188"/>
      <c r="N434" s="198">
        <f>IFERROR(VLOOKUP(A434,'[3]0-LPM'!$A$6:$D$10668,4,0),"")</f>
        <v>718.84899999999993</v>
      </c>
      <c r="O434" s="190"/>
    </row>
    <row r="435" spans="1:15" ht="12.2" customHeight="1" x14ac:dyDescent="0.25">
      <c r="A435" s="189" t="s">
        <v>906</v>
      </c>
      <c r="B435" s="207" t="s">
        <v>868</v>
      </c>
      <c r="C435" s="190" t="s">
        <v>907</v>
      </c>
      <c r="D435" s="191">
        <v>4300</v>
      </c>
      <c r="E435" s="192">
        <v>0</v>
      </c>
      <c r="F435" s="193">
        <f t="shared" si="24"/>
        <v>0</v>
      </c>
      <c r="G435" s="194">
        <f t="shared" si="25"/>
        <v>0</v>
      </c>
      <c r="H435" s="195">
        <f t="shared" si="26"/>
        <v>0</v>
      </c>
      <c r="I435" s="192">
        <f t="shared" si="27"/>
        <v>0</v>
      </c>
      <c r="J435" s="196"/>
      <c r="K435" s="196"/>
      <c r="L435" s="198" t="str">
        <f>IFERROR(VLOOKUP(#REF!,'[3]0-LPM'!$A$6:$D$10668,4,0),"")</f>
        <v/>
      </c>
      <c r="M435" s="188"/>
      <c r="N435" s="198">
        <f>IFERROR(VLOOKUP(A435,'[3]0-LPM'!$A$6:$D$10668,4,0),"")</f>
        <v>0</v>
      </c>
      <c r="O435" s="190"/>
    </row>
    <row r="436" spans="1:15" ht="12.2" customHeight="1" x14ac:dyDescent="0.25">
      <c r="A436" s="189" t="s">
        <v>908</v>
      </c>
      <c r="B436" s="207" t="s">
        <v>868</v>
      </c>
      <c r="C436" s="190" t="s">
        <v>909</v>
      </c>
      <c r="D436" s="191">
        <v>2300</v>
      </c>
      <c r="E436" s="192">
        <v>0</v>
      </c>
      <c r="F436" s="193">
        <f t="shared" si="24"/>
        <v>0</v>
      </c>
      <c r="G436" s="194">
        <f t="shared" si="25"/>
        <v>0</v>
      </c>
      <c r="H436" s="195">
        <f t="shared" si="26"/>
        <v>0</v>
      </c>
      <c r="I436" s="192">
        <f t="shared" si="27"/>
        <v>0</v>
      </c>
      <c r="J436" s="196"/>
      <c r="K436" s="196"/>
      <c r="L436" s="198" t="str">
        <f>IFERROR(VLOOKUP(#REF!,'[3]0-LPM'!$A$6:$D$10668,4,0),"")</f>
        <v/>
      </c>
      <c r="M436" s="188"/>
      <c r="N436" s="198">
        <f>IFERROR(VLOOKUP(A436,'[3]0-LPM'!$A$6:$D$10668,4,0),"")</f>
        <v>1045.3055555555557</v>
      </c>
      <c r="O436" s="190"/>
    </row>
    <row r="437" spans="1:15" ht="12.2" customHeight="1" x14ac:dyDescent="0.25">
      <c r="A437" s="189" t="s">
        <v>910</v>
      </c>
      <c r="B437" s="207" t="s">
        <v>868</v>
      </c>
      <c r="C437" s="190" t="s">
        <v>911</v>
      </c>
      <c r="D437" s="191">
        <v>3400</v>
      </c>
      <c r="E437" s="192">
        <v>0</v>
      </c>
      <c r="F437" s="193">
        <f t="shared" si="24"/>
        <v>0</v>
      </c>
      <c r="G437" s="194">
        <f t="shared" si="25"/>
        <v>0</v>
      </c>
      <c r="H437" s="195">
        <f t="shared" si="26"/>
        <v>0</v>
      </c>
      <c r="I437" s="192">
        <f t="shared" si="27"/>
        <v>0</v>
      </c>
      <c r="J437" s="196"/>
      <c r="K437" s="196"/>
      <c r="L437" s="198" t="str">
        <f>IFERROR(VLOOKUP(#REF!,'[3]0-LPM'!$A$6:$D$10668,4,0),"")</f>
        <v/>
      </c>
      <c r="M437" s="188"/>
      <c r="N437" s="198">
        <f>IFERROR(VLOOKUP(A437,'[3]0-LPM'!$A$6:$D$10668,4,0),"")</f>
        <v>2176.9916666666668</v>
      </c>
      <c r="O437" s="190"/>
    </row>
    <row r="438" spans="1:15" ht="12.2" customHeight="1" x14ac:dyDescent="0.25">
      <c r="A438" s="189" t="s">
        <v>912</v>
      </c>
      <c r="B438" s="207" t="s">
        <v>868</v>
      </c>
      <c r="C438" s="190" t="s">
        <v>913</v>
      </c>
      <c r="D438" s="191">
        <v>5700</v>
      </c>
      <c r="E438" s="192">
        <v>0</v>
      </c>
      <c r="F438" s="193">
        <f t="shared" si="24"/>
        <v>0</v>
      </c>
      <c r="G438" s="194">
        <f t="shared" si="25"/>
        <v>0</v>
      </c>
      <c r="H438" s="195">
        <f t="shared" si="26"/>
        <v>0</v>
      </c>
      <c r="I438" s="192">
        <f t="shared" si="27"/>
        <v>0</v>
      </c>
      <c r="J438" s="196"/>
      <c r="K438" s="196"/>
      <c r="L438" s="198" t="str">
        <f>IFERROR(VLOOKUP(#REF!,'[3]0-LPM'!$A$6:$D$10668,4,0),"")</f>
        <v/>
      </c>
      <c r="M438" s="188"/>
      <c r="N438" s="198">
        <f>IFERROR(VLOOKUP(A438,'[3]0-LPM'!$A$6:$D$10668,4,0),"")</f>
        <v>3654.2000000000003</v>
      </c>
      <c r="O438" s="190"/>
    </row>
    <row r="439" spans="1:15" ht="12.2" customHeight="1" x14ac:dyDescent="0.25">
      <c r="A439" s="189" t="s">
        <v>914</v>
      </c>
      <c r="B439" s="207" t="s">
        <v>868</v>
      </c>
      <c r="C439" s="190" t="s">
        <v>915</v>
      </c>
      <c r="D439" s="191">
        <v>4300</v>
      </c>
      <c r="E439" s="192">
        <v>0</v>
      </c>
      <c r="F439" s="193">
        <f t="shared" si="24"/>
        <v>0</v>
      </c>
      <c r="G439" s="194">
        <f t="shared" si="25"/>
        <v>0</v>
      </c>
      <c r="H439" s="195">
        <f t="shared" si="26"/>
        <v>0</v>
      </c>
      <c r="I439" s="192">
        <f t="shared" si="27"/>
        <v>0</v>
      </c>
      <c r="J439" s="196"/>
      <c r="K439" s="196"/>
      <c r="L439" s="198" t="str">
        <f>IFERROR(VLOOKUP(#REF!,'[3]0-LPM'!$A$6:$D$10668,4,0),"")</f>
        <v/>
      </c>
      <c r="M439" s="188"/>
      <c r="N439" s="198">
        <f>IFERROR(VLOOKUP(A439,'[3]0-LPM'!$A$6:$D$10668,4,0),"")</f>
        <v>1252.1916666666666</v>
      </c>
      <c r="O439" s="190"/>
    </row>
    <row r="440" spans="1:15" ht="12.2" customHeight="1" x14ac:dyDescent="0.25">
      <c r="A440" s="189" t="s">
        <v>916</v>
      </c>
      <c r="B440" s="207" t="s">
        <v>868</v>
      </c>
      <c r="C440" s="190" t="s">
        <v>917</v>
      </c>
      <c r="D440" s="191">
        <v>3300</v>
      </c>
      <c r="E440" s="192">
        <v>0</v>
      </c>
      <c r="F440" s="193">
        <f t="shared" si="24"/>
        <v>0</v>
      </c>
      <c r="G440" s="194">
        <f t="shared" si="25"/>
        <v>0</v>
      </c>
      <c r="H440" s="195">
        <f t="shared" si="26"/>
        <v>0</v>
      </c>
      <c r="I440" s="192">
        <f t="shared" si="27"/>
        <v>0</v>
      </c>
      <c r="J440" s="196"/>
      <c r="K440" s="196"/>
      <c r="L440" s="198" t="str">
        <f>IFERROR(VLOOKUP(#REF!,'[3]0-LPM'!$A$6:$D$10668,4,0),"")</f>
        <v/>
      </c>
      <c r="M440" s="188"/>
      <c r="N440" s="198">
        <f>IFERROR(VLOOKUP(A440,'[3]0-LPM'!$A$6:$D$10668,4,0),"")</f>
        <v>0</v>
      </c>
      <c r="O440" s="190"/>
    </row>
    <row r="441" spans="1:15" ht="12.2" customHeight="1" x14ac:dyDescent="0.25">
      <c r="A441" s="189" t="s">
        <v>918</v>
      </c>
      <c r="B441" s="207" t="s">
        <v>868</v>
      </c>
      <c r="C441" s="190" t="s">
        <v>919</v>
      </c>
      <c r="D441" s="191">
        <v>5000</v>
      </c>
      <c r="E441" s="192">
        <v>0</v>
      </c>
      <c r="F441" s="193">
        <f t="shared" si="24"/>
        <v>0</v>
      </c>
      <c r="G441" s="194">
        <f t="shared" si="25"/>
        <v>0</v>
      </c>
      <c r="H441" s="195">
        <f t="shared" si="26"/>
        <v>0</v>
      </c>
      <c r="I441" s="192">
        <f t="shared" si="27"/>
        <v>0</v>
      </c>
      <c r="J441" s="196"/>
      <c r="K441" s="196"/>
      <c r="L441" s="198" t="str">
        <f>IFERROR(VLOOKUP(#REF!,'[3]0-LPM'!$A$6:$D$10668,4,0),"")</f>
        <v/>
      </c>
      <c r="M441" s="188"/>
      <c r="N441" s="198">
        <f>IFERROR(VLOOKUP(A441,'[3]0-LPM'!$A$6:$D$10668,4,0),"")</f>
        <v>1513.8816666666669</v>
      </c>
      <c r="O441" s="190"/>
    </row>
    <row r="442" spans="1:15" ht="12.2" customHeight="1" x14ac:dyDescent="0.25">
      <c r="A442" s="189" t="s">
        <v>906</v>
      </c>
      <c r="B442" s="207" t="s">
        <v>868</v>
      </c>
      <c r="C442" s="190" t="s">
        <v>920</v>
      </c>
      <c r="D442" s="191">
        <v>0</v>
      </c>
      <c r="E442" s="192">
        <v>0</v>
      </c>
      <c r="F442" s="193">
        <f t="shared" si="24"/>
        <v>0</v>
      </c>
      <c r="G442" s="194">
        <f t="shared" si="25"/>
        <v>0</v>
      </c>
      <c r="H442" s="195">
        <f t="shared" si="26"/>
        <v>0</v>
      </c>
      <c r="I442" s="192">
        <f t="shared" si="27"/>
        <v>0</v>
      </c>
      <c r="J442" s="196"/>
      <c r="K442" s="196"/>
      <c r="L442" s="198" t="str">
        <f>IFERROR(VLOOKUP(#REF!,'[3]0-LPM'!$A$6:$D$10668,4,0),"")</f>
        <v/>
      </c>
      <c r="M442" s="188"/>
      <c r="N442" s="198">
        <f>IFERROR(VLOOKUP(A442,'[3]0-LPM'!$A$6:$D$10668,4,0),"")</f>
        <v>0</v>
      </c>
      <c r="O442" s="190"/>
    </row>
    <row r="443" spans="1:15" ht="12.2" customHeight="1" x14ac:dyDescent="0.25">
      <c r="A443" s="189" t="s">
        <v>880</v>
      </c>
      <c r="B443" s="207" t="s">
        <v>868</v>
      </c>
      <c r="C443" s="190" t="s">
        <v>921</v>
      </c>
      <c r="D443" s="191">
        <v>0</v>
      </c>
      <c r="E443" s="192">
        <v>0</v>
      </c>
      <c r="F443" s="193">
        <f t="shared" si="24"/>
        <v>0</v>
      </c>
      <c r="G443" s="194">
        <f t="shared" si="25"/>
        <v>0</v>
      </c>
      <c r="H443" s="195">
        <f t="shared" si="26"/>
        <v>0</v>
      </c>
      <c r="I443" s="192">
        <f t="shared" si="27"/>
        <v>0</v>
      </c>
      <c r="J443" s="196"/>
      <c r="K443" s="196"/>
      <c r="L443" s="198" t="str">
        <f>IFERROR(VLOOKUP(#REF!,'[3]0-LPM'!$A$6:$D$10668,4,0),"")</f>
        <v/>
      </c>
      <c r="M443" s="188"/>
      <c r="N443" s="198" t="str">
        <f>IFERROR(VLOOKUP(A443,'[3]0-LPM'!$A$6:$D$10668,4,0),"")</f>
        <v/>
      </c>
      <c r="O443" s="190"/>
    </row>
    <row r="444" spans="1:15" ht="12.2" customHeight="1" x14ac:dyDescent="0.25">
      <c r="A444" s="204"/>
      <c r="B444" s="205"/>
      <c r="C444" s="206" t="str">
        <f>+B445</f>
        <v>VARIOS</v>
      </c>
      <c r="D444" s="191">
        <v>0</v>
      </c>
      <c r="E444" s="192">
        <v>0</v>
      </c>
      <c r="F444" s="193">
        <f t="shared" si="24"/>
        <v>0</v>
      </c>
      <c r="G444" s="194">
        <f t="shared" si="25"/>
        <v>0</v>
      </c>
      <c r="H444" s="195">
        <f t="shared" si="26"/>
        <v>0</v>
      </c>
      <c r="I444" s="192">
        <f t="shared" si="27"/>
        <v>0</v>
      </c>
      <c r="J444" s="196"/>
      <c r="K444" s="196"/>
      <c r="L444" s="198" t="str">
        <f>IFERROR(VLOOKUP(#REF!,'[3]0-LPM'!$A$6:$D$10668,4,0),"")</f>
        <v/>
      </c>
      <c r="M444" s="188"/>
      <c r="N444" s="198" t="str">
        <f>IFERROR(VLOOKUP(A444,'[3]0-LPM'!$A$6:$D$10668,4,0),"")</f>
        <v/>
      </c>
      <c r="O444" s="206"/>
    </row>
    <row r="445" spans="1:15" ht="12.2" customHeight="1" x14ac:dyDescent="0.25">
      <c r="A445" s="189" t="s">
        <v>922</v>
      </c>
      <c r="B445" s="207" t="s">
        <v>923</v>
      </c>
      <c r="C445" s="190" t="s">
        <v>924</v>
      </c>
      <c r="D445" s="191">
        <v>0</v>
      </c>
      <c r="E445" s="192">
        <v>0</v>
      </c>
      <c r="F445" s="193">
        <f t="shared" si="24"/>
        <v>0</v>
      </c>
      <c r="G445" s="194">
        <f t="shared" si="25"/>
        <v>0</v>
      </c>
      <c r="H445" s="195">
        <f t="shared" si="26"/>
        <v>0</v>
      </c>
      <c r="I445" s="192">
        <f t="shared" si="27"/>
        <v>0</v>
      </c>
      <c r="J445" s="196"/>
      <c r="K445" s="196"/>
      <c r="L445" s="198" t="str">
        <f>IFERROR(VLOOKUP(#REF!,'[3]0-LPM'!$A$6:$D$10668,4,0),"")</f>
        <v/>
      </c>
      <c r="M445" s="188"/>
      <c r="N445" s="198">
        <f>IFERROR(VLOOKUP(A445,'[3]0-LPM'!$A$6:$D$10668,4,0),"")</f>
        <v>0</v>
      </c>
      <c r="O445" s="190"/>
    </row>
    <row r="446" spans="1:15" ht="12.2" customHeight="1" x14ac:dyDescent="0.25">
      <c r="A446" s="189" t="s">
        <v>925</v>
      </c>
      <c r="B446" s="207" t="s">
        <v>923</v>
      </c>
      <c r="C446" s="190" t="s">
        <v>926</v>
      </c>
      <c r="D446" s="191">
        <v>0</v>
      </c>
      <c r="E446" s="192">
        <v>0</v>
      </c>
      <c r="F446" s="193">
        <f t="shared" si="24"/>
        <v>0</v>
      </c>
      <c r="G446" s="194">
        <f t="shared" si="25"/>
        <v>0</v>
      </c>
      <c r="H446" s="195">
        <f t="shared" si="26"/>
        <v>0</v>
      </c>
      <c r="I446" s="192">
        <f t="shared" si="27"/>
        <v>0</v>
      </c>
      <c r="J446" s="196"/>
      <c r="K446" s="196"/>
      <c r="L446" s="198" t="str">
        <f>IFERROR(VLOOKUP(#REF!,'[3]0-LPM'!$A$6:$D$10668,4,0),"")</f>
        <v/>
      </c>
      <c r="M446" s="188"/>
      <c r="N446" s="198" t="str">
        <f>IFERROR(VLOOKUP(A446,'[3]0-LPM'!$A$6:$D$10668,4,0),"")</f>
        <v/>
      </c>
      <c r="O446" s="190"/>
    </row>
    <row r="447" spans="1:15" ht="12.2" customHeight="1" x14ac:dyDescent="0.25">
      <c r="A447" s="189" t="s">
        <v>927</v>
      </c>
      <c r="B447" s="207" t="s">
        <v>923</v>
      </c>
      <c r="C447" s="190" t="s">
        <v>928</v>
      </c>
      <c r="D447" s="191">
        <v>0</v>
      </c>
      <c r="E447" s="192">
        <v>0</v>
      </c>
      <c r="F447" s="193">
        <f t="shared" si="24"/>
        <v>0</v>
      </c>
      <c r="G447" s="194">
        <f t="shared" si="25"/>
        <v>0</v>
      </c>
      <c r="H447" s="195">
        <f t="shared" si="26"/>
        <v>0</v>
      </c>
      <c r="I447" s="192">
        <f t="shared" si="27"/>
        <v>0</v>
      </c>
      <c r="J447" s="196"/>
      <c r="K447" s="196"/>
      <c r="L447" s="198" t="str">
        <f>IFERROR(VLOOKUP(#REF!,'[3]0-LPM'!$A$6:$D$10668,4,0),"")</f>
        <v/>
      </c>
      <c r="M447" s="188"/>
      <c r="N447" s="198" t="str">
        <f>IFERROR(VLOOKUP(A447,'[3]0-LPM'!$A$6:$D$10668,4,0),"")</f>
        <v/>
      </c>
      <c r="O447" s="190"/>
    </row>
    <row r="448" spans="1:15" ht="12.2" customHeight="1" x14ac:dyDescent="0.25">
      <c r="A448" s="189" t="s">
        <v>929</v>
      </c>
      <c r="B448" s="207" t="s">
        <v>923</v>
      </c>
      <c r="C448" s="190" t="s">
        <v>930</v>
      </c>
      <c r="D448" s="191">
        <v>7200</v>
      </c>
      <c r="E448" s="192">
        <v>0</v>
      </c>
      <c r="F448" s="193">
        <f t="shared" si="24"/>
        <v>0</v>
      </c>
      <c r="G448" s="194">
        <f t="shared" si="25"/>
        <v>0</v>
      </c>
      <c r="H448" s="195">
        <f t="shared" si="26"/>
        <v>0</v>
      </c>
      <c r="I448" s="192">
        <f t="shared" si="27"/>
        <v>0</v>
      </c>
      <c r="J448" s="196"/>
      <c r="K448" s="196"/>
      <c r="L448" s="198" t="str">
        <f>IFERROR(VLOOKUP(#REF!,'[3]0-LPM'!$A$6:$D$10668,4,0),"")</f>
        <v/>
      </c>
      <c r="M448" s="188"/>
      <c r="N448" s="198">
        <f>IFERROR(VLOOKUP(A448,'[3]0-LPM'!$A$6:$D$10668,4,0),"")</f>
        <v>0</v>
      </c>
      <c r="O448" s="190"/>
    </row>
    <row r="449" spans="1:15" ht="12.2" customHeight="1" x14ac:dyDescent="0.25">
      <c r="A449" s="189" t="s">
        <v>931</v>
      </c>
      <c r="B449" s="207" t="s">
        <v>932</v>
      </c>
      <c r="C449" s="190" t="s">
        <v>933</v>
      </c>
      <c r="D449" s="191">
        <v>0</v>
      </c>
      <c r="E449" s="192">
        <v>0</v>
      </c>
      <c r="F449" s="193">
        <f t="shared" si="24"/>
        <v>0</v>
      </c>
      <c r="G449" s="194">
        <f t="shared" si="25"/>
        <v>0</v>
      </c>
      <c r="H449" s="195">
        <f t="shared" si="26"/>
        <v>0</v>
      </c>
      <c r="I449" s="192">
        <f t="shared" si="27"/>
        <v>0</v>
      </c>
      <c r="J449" s="196"/>
      <c r="K449" s="196"/>
      <c r="L449" s="198" t="str">
        <f>IFERROR(VLOOKUP(#REF!,'[3]0-LPM'!$A$6:$D$10668,4,0),"")</f>
        <v/>
      </c>
      <c r="M449" s="188"/>
      <c r="N449" s="198">
        <f>IFERROR(VLOOKUP(A449,'[3]0-LPM'!$A$6:$D$10668,4,0),"")</f>
        <v>0</v>
      </c>
      <c r="O449" s="190"/>
    </row>
    <row r="450" spans="1:15" ht="12.2" customHeight="1" x14ac:dyDescent="0.25">
      <c r="A450" s="189" t="s">
        <v>934</v>
      </c>
      <c r="B450" s="207" t="s">
        <v>932</v>
      </c>
      <c r="C450" s="190" t="s">
        <v>935</v>
      </c>
      <c r="D450" s="191">
        <v>0</v>
      </c>
      <c r="E450" s="192">
        <v>9000</v>
      </c>
      <c r="F450" s="193">
        <f t="shared" si="24"/>
        <v>7380</v>
      </c>
      <c r="G450" s="194">
        <f t="shared" si="25"/>
        <v>7650</v>
      </c>
      <c r="H450" s="195">
        <f t="shared" si="26"/>
        <v>8100</v>
      </c>
      <c r="I450" s="192">
        <f t="shared" si="27"/>
        <v>8550</v>
      </c>
      <c r="J450" s="196"/>
      <c r="K450" s="196"/>
      <c r="L450" s="198" t="str">
        <f>IFERROR(VLOOKUP(#REF!,'[3]0-LPM'!$A$6:$D$10668,4,0),"")</f>
        <v/>
      </c>
      <c r="M450" s="188"/>
      <c r="N450" s="198">
        <f>IFERROR(VLOOKUP(A450,'[3]0-LPM'!$A$6:$D$10668,4,0),"")</f>
        <v>0</v>
      </c>
      <c r="O450" s="190"/>
    </row>
    <row r="451" spans="1:15" ht="12.2" customHeight="1" x14ac:dyDescent="0.25">
      <c r="A451" s="189" t="s">
        <v>936</v>
      </c>
      <c r="B451" s="207" t="s">
        <v>932</v>
      </c>
      <c r="C451" s="190" t="s">
        <v>937</v>
      </c>
      <c r="D451" s="191">
        <v>0</v>
      </c>
      <c r="E451" s="192">
        <v>0</v>
      </c>
      <c r="F451" s="193">
        <f t="shared" si="24"/>
        <v>0</v>
      </c>
      <c r="G451" s="194">
        <f t="shared" si="25"/>
        <v>0</v>
      </c>
      <c r="H451" s="195">
        <f t="shared" si="26"/>
        <v>0</v>
      </c>
      <c r="I451" s="192">
        <f t="shared" si="27"/>
        <v>0</v>
      </c>
      <c r="J451" s="196"/>
      <c r="K451" s="196"/>
      <c r="L451" s="198" t="str">
        <f>IFERROR(VLOOKUP(#REF!,'[3]0-LPM'!$A$6:$D$10668,4,0),"")</f>
        <v/>
      </c>
      <c r="M451" s="188"/>
      <c r="N451" s="198">
        <f>IFERROR(VLOOKUP(A451,'[3]0-LPM'!$A$6:$D$10668,4,0),"")</f>
        <v>0</v>
      </c>
      <c r="O451" s="190"/>
    </row>
    <row r="452" spans="1:15" ht="12.2" customHeight="1" x14ac:dyDescent="0.25">
      <c r="A452" s="189" t="s">
        <v>938</v>
      </c>
      <c r="B452" s="207" t="s">
        <v>932</v>
      </c>
      <c r="C452" s="190" t="s">
        <v>939</v>
      </c>
      <c r="D452" s="191">
        <v>0</v>
      </c>
      <c r="E452" s="192">
        <v>0</v>
      </c>
      <c r="F452" s="193">
        <f t="shared" si="24"/>
        <v>0</v>
      </c>
      <c r="G452" s="194">
        <f t="shared" si="25"/>
        <v>0</v>
      </c>
      <c r="H452" s="195">
        <f t="shared" si="26"/>
        <v>0</v>
      </c>
      <c r="I452" s="192">
        <f t="shared" si="27"/>
        <v>0</v>
      </c>
      <c r="J452" s="196"/>
      <c r="K452" s="196"/>
      <c r="L452" s="198" t="str">
        <f>IFERROR(VLOOKUP(#REF!,'[3]0-LPM'!$A$6:$D$10668,4,0),"")</f>
        <v/>
      </c>
      <c r="M452" s="188"/>
      <c r="N452" s="198">
        <f>IFERROR(VLOOKUP(A452,'[3]0-LPM'!$A$6:$D$10668,4,0),"")</f>
        <v>0</v>
      </c>
      <c r="O452" s="190"/>
    </row>
    <row r="453" spans="1:15" ht="12.2" customHeight="1" x14ac:dyDescent="0.25">
      <c r="A453" s="189" t="s">
        <v>940</v>
      </c>
      <c r="B453" s="207" t="s">
        <v>932</v>
      </c>
      <c r="C453" s="190" t="s">
        <v>941</v>
      </c>
      <c r="D453" s="191">
        <v>0</v>
      </c>
      <c r="E453" s="192">
        <v>0</v>
      </c>
      <c r="F453" s="193">
        <f t="shared" si="24"/>
        <v>0</v>
      </c>
      <c r="G453" s="194">
        <f t="shared" si="25"/>
        <v>0</v>
      </c>
      <c r="H453" s="195">
        <f t="shared" si="26"/>
        <v>0</v>
      </c>
      <c r="I453" s="192">
        <f t="shared" si="27"/>
        <v>0</v>
      </c>
      <c r="J453" s="196"/>
      <c r="K453" s="196"/>
      <c r="L453" s="198" t="str">
        <f>IFERROR(VLOOKUP(#REF!,'[3]0-LPM'!$A$6:$D$10668,4,0),"")</f>
        <v/>
      </c>
      <c r="M453" s="188"/>
      <c r="N453" s="198">
        <f>IFERROR(VLOOKUP(A453,'[3]0-LPM'!$A$6:$D$10668,4,0),"")</f>
        <v>0</v>
      </c>
      <c r="O453" s="190"/>
    </row>
    <row r="454" spans="1:15" ht="12.2" customHeight="1" x14ac:dyDescent="0.25">
      <c r="A454" s="189" t="s">
        <v>942</v>
      </c>
      <c r="B454" s="207" t="s">
        <v>932</v>
      </c>
      <c r="C454" s="190" t="s">
        <v>943</v>
      </c>
      <c r="D454" s="191">
        <v>0</v>
      </c>
      <c r="E454" s="192">
        <v>0</v>
      </c>
      <c r="F454" s="193">
        <f t="shared" si="24"/>
        <v>0</v>
      </c>
      <c r="G454" s="194">
        <f t="shared" si="25"/>
        <v>0</v>
      </c>
      <c r="H454" s="195">
        <f t="shared" si="26"/>
        <v>0</v>
      </c>
      <c r="I454" s="192">
        <f t="shared" si="27"/>
        <v>0</v>
      </c>
      <c r="J454" s="196"/>
      <c r="K454" s="196"/>
      <c r="L454" s="198" t="str">
        <f>IFERROR(VLOOKUP(#REF!,'[3]0-LPM'!$A$6:$D$10668,4,0),"")</f>
        <v/>
      </c>
      <c r="M454" s="188"/>
      <c r="N454" s="198">
        <f>IFERROR(VLOOKUP(A454,'[3]0-LPM'!$A$6:$D$10668,4,0),"")</f>
        <v>0</v>
      </c>
      <c r="O454" s="190"/>
    </row>
    <row r="455" spans="1:15" ht="12.2" customHeight="1" x14ac:dyDescent="0.25">
      <c r="A455" s="189" t="s">
        <v>944</v>
      </c>
      <c r="B455" s="207" t="s">
        <v>932</v>
      </c>
      <c r="C455" s="190" t="s">
        <v>945</v>
      </c>
      <c r="D455" s="191">
        <v>0</v>
      </c>
      <c r="E455" s="192">
        <v>0</v>
      </c>
      <c r="F455" s="193">
        <f t="shared" si="24"/>
        <v>0</v>
      </c>
      <c r="G455" s="194">
        <f t="shared" si="25"/>
        <v>0</v>
      </c>
      <c r="H455" s="195">
        <f t="shared" si="26"/>
        <v>0</v>
      </c>
      <c r="I455" s="192">
        <f t="shared" si="27"/>
        <v>0</v>
      </c>
      <c r="J455" s="196"/>
      <c r="K455" s="196"/>
      <c r="L455" s="198" t="str">
        <f>IFERROR(VLOOKUP(#REF!,'[3]0-LPM'!$A$6:$D$10668,4,0),"")</f>
        <v/>
      </c>
      <c r="M455" s="188"/>
      <c r="N455" s="198">
        <f>IFERROR(VLOOKUP(A455,'[3]0-LPM'!$A$6:$D$10668,4,0),"")</f>
        <v>0</v>
      </c>
      <c r="O455" s="190"/>
    </row>
    <row r="456" spans="1:15" ht="12.2" customHeight="1" x14ac:dyDescent="0.25">
      <c r="A456" s="189" t="s">
        <v>946</v>
      </c>
      <c r="B456" s="207" t="s">
        <v>932</v>
      </c>
      <c r="C456" s="190" t="s">
        <v>947</v>
      </c>
      <c r="D456" s="191">
        <v>0</v>
      </c>
      <c r="E456" s="192">
        <v>0</v>
      </c>
      <c r="F456" s="193">
        <f t="shared" si="24"/>
        <v>0</v>
      </c>
      <c r="G456" s="194">
        <f t="shared" si="25"/>
        <v>0</v>
      </c>
      <c r="H456" s="195">
        <f t="shared" si="26"/>
        <v>0</v>
      </c>
      <c r="I456" s="192">
        <f t="shared" si="27"/>
        <v>0</v>
      </c>
      <c r="J456" s="196"/>
      <c r="K456" s="196"/>
      <c r="L456" s="198" t="str">
        <f>IFERROR(VLOOKUP(#REF!,'[3]0-LPM'!$A$6:$D$10668,4,0),"")</f>
        <v/>
      </c>
      <c r="M456" s="188"/>
      <c r="N456" s="198">
        <f>IFERROR(VLOOKUP(A456,'[3]0-LPM'!$A$6:$D$10668,4,0),"")</f>
        <v>0</v>
      </c>
      <c r="O456" s="190"/>
    </row>
    <row r="457" spans="1:15" ht="12.2" customHeight="1" x14ac:dyDescent="0.25">
      <c r="A457" s="189" t="s">
        <v>948</v>
      </c>
      <c r="B457" s="207" t="s">
        <v>932</v>
      </c>
      <c r="C457" s="190" t="s">
        <v>949</v>
      </c>
      <c r="D457" s="191">
        <v>0</v>
      </c>
      <c r="E457" s="192">
        <v>0</v>
      </c>
      <c r="F457" s="193">
        <f t="shared" si="24"/>
        <v>0</v>
      </c>
      <c r="G457" s="194">
        <f t="shared" si="25"/>
        <v>0</v>
      </c>
      <c r="H457" s="195">
        <f t="shared" si="26"/>
        <v>0</v>
      </c>
      <c r="I457" s="192">
        <f t="shared" si="27"/>
        <v>0</v>
      </c>
      <c r="J457" s="196"/>
      <c r="K457" s="196"/>
      <c r="L457" s="198" t="str">
        <f>IFERROR(VLOOKUP(#REF!,'[3]0-LPM'!$A$6:$D$10668,4,0),"")</f>
        <v/>
      </c>
      <c r="M457" s="188"/>
      <c r="N457" s="198">
        <f>IFERROR(VLOOKUP(A457,'[3]0-LPM'!$A$6:$D$10668,4,0),"")</f>
        <v>0</v>
      </c>
      <c r="O457" s="190"/>
    </row>
    <row r="458" spans="1:15" ht="12.2" customHeight="1" x14ac:dyDescent="0.25">
      <c r="A458" s="189" t="s">
        <v>950</v>
      </c>
      <c r="B458" s="207" t="s">
        <v>932</v>
      </c>
      <c r="C458" s="190" t="s">
        <v>951</v>
      </c>
      <c r="D458" s="191">
        <v>0</v>
      </c>
      <c r="E458" s="192">
        <v>15100</v>
      </c>
      <c r="F458" s="193">
        <f t="shared" si="24"/>
        <v>12380</v>
      </c>
      <c r="G458" s="194">
        <f t="shared" si="25"/>
        <v>12840</v>
      </c>
      <c r="H458" s="195">
        <f t="shared" si="26"/>
        <v>13590</v>
      </c>
      <c r="I458" s="192">
        <f t="shared" si="27"/>
        <v>14350</v>
      </c>
      <c r="J458" s="196"/>
      <c r="K458" s="196"/>
      <c r="L458" s="198" t="str">
        <f>IFERROR(VLOOKUP(#REF!,'[3]0-LPM'!$A$6:$D$10668,4,0),"")</f>
        <v/>
      </c>
      <c r="M458" s="188"/>
      <c r="N458" s="198">
        <f>IFERROR(VLOOKUP(A458,'[3]0-LPM'!$A$6:$D$10668,4,0),"")</f>
        <v>0</v>
      </c>
      <c r="O458" s="190"/>
    </row>
    <row r="459" spans="1:15" ht="12.2" customHeight="1" x14ac:dyDescent="0.25">
      <c r="A459" s="189" t="s">
        <v>952</v>
      </c>
      <c r="B459" s="207" t="s">
        <v>932</v>
      </c>
      <c r="C459" s="190" t="s">
        <v>953</v>
      </c>
      <c r="D459" s="191">
        <v>0</v>
      </c>
      <c r="E459" s="192">
        <v>0</v>
      </c>
      <c r="F459" s="193">
        <f t="shared" si="24"/>
        <v>0</v>
      </c>
      <c r="G459" s="194">
        <f t="shared" si="25"/>
        <v>0</v>
      </c>
      <c r="H459" s="195">
        <f t="shared" si="26"/>
        <v>0</v>
      </c>
      <c r="I459" s="192">
        <f t="shared" si="27"/>
        <v>0</v>
      </c>
      <c r="J459" s="196"/>
      <c r="K459" s="196"/>
      <c r="L459" s="198" t="str">
        <f>IFERROR(VLOOKUP(#REF!,'[3]0-LPM'!$A$6:$D$10668,4,0),"")</f>
        <v/>
      </c>
      <c r="M459" s="188"/>
      <c r="N459" s="198">
        <f>IFERROR(VLOOKUP(A459,'[3]0-LPM'!$A$6:$D$10668,4,0),"")</f>
        <v>0</v>
      </c>
      <c r="O459" s="190"/>
    </row>
    <row r="460" spans="1:15" ht="12.2" customHeight="1" x14ac:dyDescent="0.25">
      <c r="A460" s="189" t="s">
        <v>954</v>
      </c>
      <c r="B460" s="207" t="s">
        <v>923</v>
      </c>
      <c r="C460" s="190" t="s">
        <v>955</v>
      </c>
      <c r="D460" s="191">
        <v>0</v>
      </c>
      <c r="E460" s="192">
        <v>0</v>
      </c>
      <c r="F460" s="193">
        <f t="shared" si="24"/>
        <v>0</v>
      </c>
      <c r="G460" s="194">
        <f t="shared" si="25"/>
        <v>0</v>
      </c>
      <c r="H460" s="195">
        <f t="shared" si="26"/>
        <v>0</v>
      </c>
      <c r="I460" s="192">
        <f t="shared" si="27"/>
        <v>0</v>
      </c>
      <c r="J460" s="196"/>
      <c r="K460" s="196"/>
      <c r="L460" s="198" t="str">
        <f>IFERROR(VLOOKUP(#REF!,'[3]0-LPM'!$A$6:$D$10668,4,0),"")</f>
        <v/>
      </c>
      <c r="M460" s="188"/>
      <c r="N460" s="198" t="str">
        <f>IFERROR(VLOOKUP(A460,'[3]0-LPM'!$A$6:$D$10668,4,0),"")</f>
        <v/>
      </c>
      <c r="O460" s="190"/>
    </row>
    <row r="461" spans="1:15" ht="12.2" customHeight="1" x14ac:dyDescent="0.25">
      <c r="A461" s="189" t="s">
        <v>956</v>
      </c>
      <c r="B461" s="207" t="s">
        <v>923</v>
      </c>
      <c r="C461" s="190" t="s">
        <v>957</v>
      </c>
      <c r="D461" s="191">
        <v>0</v>
      </c>
      <c r="E461" s="192">
        <v>0</v>
      </c>
      <c r="F461" s="193">
        <f t="shared" si="24"/>
        <v>0</v>
      </c>
      <c r="G461" s="194">
        <f t="shared" si="25"/>
        <v>0</v>
      </c>
      <c r="H461" s="195">
        <f t="shared" si="26"/>
        <v>0</v>
      </c>
      <c r="I461" s="192">
        <f t="shared" si="27"/>
        <v>0</v>
      </c>
      <c r="J461" s="196"/>
      <c r="K461" s="196"/>
      <c r="L461" s="198" t="str">
        <f>IFERROR(VLOOKUP(#REF!,'[3]0-LPM'!$A$6:$D$10668,4,0),"")</f>
        <v/>
      </c>
      <c r="M461" s="188"/>
      <c r="N461" s="198" t="str">
        <f>IFERROR(VLOOKUP(A461,'[3]0-LPM'!$A$6:$D$10668,4,0),"")</f>
        <v/>
      </c>
      <c r="O461" s="190"/>
    </row>
    <row r="462" spans="1:15" ht="12.2" customHeight="1" x14ac:dyDescent="0.25">
      <c r="A462" s="204"/>
      <c r="B462" s="205"/>
      <c r="C462" s="206" t="s">
        <v>958</v>
      </c>
      <c r="D462" s="191">
        <v>0</v>
      </c>
      <c r="E462" s="192">
        <v>0</v>
      </c>
      <c r="F462" s="193">
        <f t="shared" si="24"/>
        <v>0</v>
      </c>
      <c r="G462" s="194">
        <f t="shared" si="25"/>
        <v>0</v>
      </c>
      <c r="H462" s="195">
        <f t="shared" si="26"/>
        <v>0</v>
      </c>
      <c r="I462" s="192">
        <f t="shared" si="27"/>
        <v>0</v>
      </c>
      <c r="J462" s="196"/>
      <c r="K462" s="196"/>
      <c r="L462" s="198" t="str">
        <f>IFERROR(VLOOKUP(#REF!,'[3]0-LPM'!$A$6:$D$10668,4,0),"")</f>
        <v/>
      </c>
      <c r="M462" s="188"/>
      <c r="N462" s="198" t="str">
        <f>IFERROR(VLOOKUP(A462,'[3]0-LPM'!$A$6:$D$10668,4,0),"")</f>
        <v/>
      </c>
      <c r="O462" s="206"/>
    </row>
    <row r="463" spans="1:15" ht="12.2" customHeight="1" x14ac:dyDescent="0.25">
      <c r="A463" s="189" t="s">
        <v>959</v>
      </c>
      <c r="B463" s="215" t="s">
        <v>958</v>
      </c>
      <c r="C463" s="190" t="s">
        <v>960</v>
      </c>
      <c r="D463" s="191">
        <v>2300</v>
      </c>
      <c r="E463" s="192">
        <v>0</v>
      </c>
      <c r="F463" s="193">
        <f t="shared" si="24"/>
        <v>0</v>
      </c>
      <c r="G463" s="194">
        <f t="shared" si="25"/>
        <v>0</v>
      </c>
      <c r="H463" s="195">
        <f t="shared" si="26"/>
        <v>0</v>
      </c>
      <c r="I463" s="192">
        <f t="shared" si="27"/>
        <v>0</v>
      </c>
      <c r="J463" s="196"/>
      <c r="K463" s="196"/>
      <c r="L463" s="198" t="str">
        <f>IFERROR(VLOOKUP(#REF!,'[3]0-LPM'!$A$6:$D$10668,4,0),"")</f>
        <v/>
      </c>
      <c r="M463" s="188"/>
      <c r="N463" s="198">
        <f>IFERROR(VLOOKUP(A463,'[3]0-LPM'!$A$6:$D$10668,4,0),"")</f>
        <v>590.32000000000005</v>
      </c>
      <c r="O463" s="190"/>
    </row>
    <row r="464" spans="1:15" ht="12.2" customHeight="1" x14ac:dyDescent="0.25">
      <c r="A464" s="189" t="s">
        <v>961</v>
      </c>
      <c r="B464" s="207" t="s">
        <v>958</v>
      </c>
      <c r="C464" s="190" t="s">
        <v>962</v>
      </c>
      <c r="D464" s="191">
        <v>4300</v>
      </c>
      <c r="E464" s="192">
        <v>0</v>
      </c>
      <c r="F464" s="193">
        <f t="shared" si="24"/>
        <v>0</v>
      </c>
      <c r="G464" s="194">
        <f t="shared" si="25"/>
        <v>0</v>
      </c>
      <c r="H464" s="195">
        <f t="shared" si="26"/>
        <v>0</v>
      </c>
      <c r="I464" s="192">
        <f t="shared" si="27"/>
        <v>0</v>
      </c>
      <c r="J464" s="196"/>
      <c r="K464" s="196"/>
      <c r="L464" s="198" t="str">
        <f>IFERROR(VLOOKUP(#REF!,'[3]0-LPM'!$A$6:$D$10668,4,0),"")</f>
        <v/>
      </c>
      <c r="M464" s="188"/>
      <c r="N464" s="198">
        <f>IFERROR(VLOOKUP(A464,'[3]0-LPM'!$A$6:$D$10668,4,0),"")</f>
        <v>1062.57</v>
      </c>
      <c r="O464" s="190"/>
    </row>
    <row r="465" spans="1:15" ht="12.2" customHeight="1" x14ac:dyDescent="0.25">
      <c r="A465" s="189" t="s">
        <v>963</v>
      </c>
      <c r="B465" s="207" t="s">
        <v>958</v>
      </c>
      <c r="C465" s="190" t="s">
        <v>964</v>
      </c>
      <c r="D465" s="191">
        <v>7000</v>
      </c>
      <c r="E465" s="192">
        <v>0</v>
      </c>
      <c r="F465" s="193">
        <f t="shared" si="24"/>
        <v>0</v>
      </c>
      <c r="G465" s="194">
        <f t="shared" si="25"/>
        <v>0</v>
      </c>
      <c r="H465" s="195">
        <f t="shared" si="26"/>
        <v>0</v>
      </c>
      <c r="I465" s="192">
        <f t="shared" si="27"/>
        <v>0</v>
      </c>
      <c r="J465" s="196"/>
      <c r="K465" s="196"/>
      <c r="L465" s="198" t="str">
        <f>IFERROR(VLOOKUP(#REF!,'[3]0-LPM'!$A$6:$D$10668,4,0),"")</f>
        <v/>
      </c>
      <c r="M465" s="188"/>
      <c r="N465" s="198">
        <f>IFERROR(VLOOKUP(A465,'[3]0-LPM'!$A$6:$D$10668,4,0),"")</f>
        <v>0</v>
      </c>
      <c r="O465" s="190"/>
    </row>
    <row r="466" spans="1:15" ht="12.2" customHeight="1" x14ac:dyDescent="0.25">
      <c r="A466" s="189" t="s">
        <v>965</v>
      </c>
      <c r="B466" s="207" t="s">
        <v>958</v>
      </c>
      <c r="C466" s="190" t="s">
        <v>966</v>
      </c>
      <c r="D466" s="191">
        <v>0</v>
      </c>
      <c r="E466" s="192">
        <v>0</v>
      </c>
      <c r="F466" s="193">
        <f t="shared" si="24"/>
        <v>0</v>
      </c>
      <c r="G466" s="194">
        <f t="shared" si="25"/>
        <v>0</v>
      </c>
      <c r="H466" s="195">
        <f t="shared" si="26"/>
        <v>0</v>
      </c>
      <c r="I466" s="192">
        <f t="shared" si="27"/>
        <v>0</v>
      </c>
      <c r="J466" s="196"/>
      <c r="K466" s="196"/>
      <c r="L466" s="198" t="str">
        <f>IFERROR(VLOOKUP(#REF!,'[3]0-LPM'!$A$6:$D$10668,4,0),"")</f>
        <v/>
      </c>
      <c r="M466" s="188"/>
      <c r="N466" s="198">
        <f>IFERROR(VLOOKUP(A466,'[3]0-LPM'!$A$6:$D$10668,4,0),"")</f>
        <v>1770.96</v>
      </c>
      <c r="O466" s="190"/>
    </row>
    <row r="467" spans="1:15" ht="12.2" customHeight="1" x14ac:dyDescent="0.25">
      <c r="A467" s="189" t="s">
        <v>967</v>
      </c>
      <c r="B467" s="207" t="s">
        <v>958</v>
      </c>
      <c r="C467" s="190" t="s">
        <v>968</v>
      </c>
      <c r="D467" s="191">
        <v>4300</v>
      </c>
      <c r="E467" s="192">
        <v>0</v>
      </c>
      <c r="F467" s="193">
        <f t="shared" si="24"/>
        <v>0</v>
      </c>
      <c r="G467" s="194">
        <f t="shared" si="25"/>
        <v>0</v>
      </c>
      <c r="H467" s="195">
        <f t="shared" si="26"/>
        <v>0</v>
      </c>
      <c r="I467" s="192">
        <f t="shared" si="27"/>
        <v>0</v>
      </c>
      <c r="J467" s="196"/>
      <c r="K467" s="196"/>
      <c r="L467" s="198" t="str">
        <f>IFERROR(VLOOKUP(#REF!,'[3]0-LPM'!$A$6:$D$10668,4,0),"")</f>
        <v/>
      </c>
      <c r="M467" s="188"/>
      <c r="N467" s="198">
        <f>IFERROR(VLOOKUP(A467,'[3]0-LPM'!$A$6:$D$10668,4,0),"")</f>
        <v>0</v>
      </c>
      <c r="O467" s="190"/>
    </row>
    <row r="468" spans="1:15" ht="12.2" customHeight="1" x14ac:dyDescent="0.25">
      <c r="A468" s="189" t="s">
        <v>969</v>
      </c>
      <c r="B468" s="207" t="s">
        <v>958</v>
      </c>
      <c r="C468" s="190" t="s">
        <v>970</v>
      </c>
      <c r="D468" s="191">
        <v>0</v>
      </c>
      <c r="E468" s="192">
        <v>0</v>
      </c>
      <c r="F468" s="193">
        <f t="shared" si="24"/>
        <v>0</v>
      </c>
      <c r="G468" s="194">
        <f t="shared" si="25"/>
        <v>0</v>
      </c>
      <c r="H468" s="195">
        <f t="shared" si="26"/>
        <v>0</v>
      </c>
      <c r="I468" s="192">
        <f t="shared" si="27"/>
        <v>0</v>
      </c>
      <c r="J468" s="196"/>
      <c r="K468" s="196"/>
      <c r="L468" s="198" t="str">
        <f>IFERROR(VLOOKUP(#REF!,'[3]0-LPM'!$A$6:$D$10668,4,0),"")</f>
        <v/>
      </c>
      <c r="M468" s="188"/>
      <c r="N468" s="198">
        <f>IFERROR(VLOOKUP(A468,'[3]0-LPM'!$A$6:$D$10668,4,0),"")</f>
        <v>0</v>
      </c>
      <c r="O468" s="190"/>
    </row>
    <row r="469" spans="1:15" ht="12.2" customHeight="1" x14ac:dyDescent="0.25">
      <c r="A469" s="189" t="s">
        <v>971</v>
      </c>
      <c r="B469" s="207" t="s">
        <v>958</v>
      </c>
      <c r="C469" s="190" t="s">
        <v>972</v>
      </c>
      <c r="D469" s="191">
        <v>0</v>
      </c>
      <c r="E469" s="192">
        <v>0</v>
      </c>
      <c r="F469" s="193">
        <f t="shared" si="24"/>
        <v>0</v>
      </c>
      <c r="G469" s="194">
        <f t="shared" si="25"/>
        <v>0</v>
      </c>
      <c r="H469" s="195">
        <f t="shared" si="26"/>
        <v>0</v>
      </c>
      <c r="I469" s="192">
        <f t="shared" si="27"/>
        <v>0</v>
      </c>
      <c r="J469" s="196"/>
      <c r="K469" s="196"/>
      <c r="L469" s="198" t="str">
        <f>IFERROR(VLOOKUP(#REF!,'[3]0-LPM'!$A$6:$D$10668,4,0),"")</f>
        <v/>
      </c>
      <c r="M469" s="188"/>
      <c r="N469" s="198">
        <f>IFERROR(VLOOKUP(A469,'[3]0-LPM'!$A$6:$D$10668,4,0),"")</f>
        <v>0</v>
      </c>
      <c r="O469" s="190"/>
    </row>
    <row r="470" spans="1:15" ht="12.2" customHeight="1" x14ac:dyDescent="0.25">
      <c r="A470" s="216"/>
      <c r="B470" s="217"/>
      <c r="C470" s="217" t="s">
        <v>973</v>
      </c>
      <c r="D470" s="191">
        <v>0</v>
      </c>
      <c r="E470" s="192">
        <v>0</v>
      </c>
      <c r="F470" s="193">
        <f t="shared" si="24"/>
        <v>0</v>
      </c>
      <c r="G470" s="194">
        <f t="shared" si="25"/>
        <v>0</v>
      </c>
      <c r="H470" s="195">
        <f t="shared" si="26"/>
        <v>0</v>
      </c>
      <c r="I470" s="192">
        <f t="shared" si="27"/>
        <v>0</v>
      </c>
      <c r="J470" s="196"/>
      <c r="K470" s="196"/>
      <c r="L470" s="198" t="str">
        <f>IFERROR(VLOOKUP(#REF!,'[3]0-LPM'!$A$6:$D$10668,4,0),"")</f>
        <v/>
      </c>
      <c r="M470" s="188"/>
      <c r="N470" s="198" t="str">
        <f>IFERROR(VLOOKUP(A470,'[3]0-LPM'!$A$6:$D$10668,4,0),"")</f>
        <v/>
      </c>
      <c r="O470" s="217"/>
    </row>
    <row r="471" spans="1:15" ht="12.2" customHeight="1" x14ac:dyDescent="0.25">
      <c r="A471" s="189" t="s">
        <v>967</v>
      </c>
      <c r="B471" s="207" t="s">
        <v>958</v>
      </c>
      <c r="C471" s="190" t="s">
        <v>970</v>
      </c>
      <c r="D471" s="191">
        <v>0</v>
      </c>
      <c r="E471" s="192">
        <v>0</v>
      </c>
      <c r="F471" s="193">
        <f t="shared" si="24"/>
        <v>0</v>
      </c>
      <c r="G471" s="194">
        <f t="shared" si="25"/>
        <v>0</v>
      </c>
      <c r="H471" s="195">
        <f t="shared" si="26"/>
        <v>0</v>
      </c>
      <c r="I471" s="192">
        <f t="shared" si="27"/>
        <v>0</v>
      </c>
      <c r="J471" s="196"/>
      <c r="K471" s="196"/>
      <c r="L471" s="198" t="str">
        <f>IFERROR(VLOOKUP(#REF!,'[3]0-LPM'!$A$6:$D$10668,4,0),"")</f>
        <v/>
      </c>
      <c r="M471" s="188"/>
      <c r="N471" s="198">
        <f>IFERROR(VLOOKUP(A471,'[3]0-LPM'!$A$6:$D$10668,4,0),"")</f>
        <v>0</v>
      </c>
      <c r="O471" s="190"/>
    </row>
    <row r="472" spans="1:15" ht="12.2" customHeight="1" x14ac:dyDescent="0.25">
      <c r="A472" s="189" t="s">
        <v>974</v>
      </c>
      <c r="B472" s="207" t="s">
        <v>958</v>
      </c>
      <c r="C472" s="190" t="s">
        <v>975</v>
      </c>
      <c r="D472" s="191">
        <v>7000</v>
      </c>
      <c r="E472" s="192">
        <v>0</v>
      </c>
      <c r="F472" s="193">
        <f t="shared" si="24"/>
        <v>0</v>
      </c>
      <c r="G472" s="194">
        <f t="shared" si="25"/>
        <v>0</v>
      </c>
      <c r="H472" s="195">
        <f t="shared" si="26"/>
        <v>0</v>
      </c>
      <c r="I472" s="192">
        <f t="shared" si="27"/>
        <v>0</v>
      </c>
      <c r="J472" s="196"/>
      <c r="K472" s="196"/>
      <c r="L472" s="198" t="str">
        <f>IFERROR(VLOOKUP(#REF!,'[3]0-LPM'!$A$6:$D$10668,4,0),"")</f>
        <v/>
      </c>
      <c r="M472" s="188"/>
      <c r="N472" s="198">
        <f>IFERROR(VLOOKUP(A472,'[3]0-LPM'!$A$6:$D$10668,4,0),"")</f>
        <v>1770.96</v>
      </c>
      <c r="O472" s="190"/>
    </row>
    <row r="473" spans="1:15" ht="12.2" customHeight="1" x14ac:dyDescent="0.25">
      <c r="A473" s="189" t="s">
        <v>976</v>
      </c>
      <c r="B473" s="207" t="s">
        <v>958</v>
      </c>
      <c r="C473" s="190" t="s">
        <v>977</v>
      </c>
      <c r="D473" s="191">
        <v>4300</v>
      </c>
      <c r="E473" s="192">
        <v>0</v>
      </c>
      <c r="F473" s="193">
        <f t="shared" si="24"/>
        <v>0</v>
      </c>
      <c r="G473" s="194">
        <f t="shared" si="25"/>
        <v>0</v>
      </c>
      <c r="H473" s="195">
        <f t="shared" si="26"/>
        <v>0</v>
      </c>
      <c r="I473" s="192">
        <f t="shared" si="27"/>
        <v>0</v>
      </c>
      <c r="J473" s="196"/>
      <c r="K473" s="196"/>
      <c r="L473" s="198" t="str">
        <f>IFERROR(VLOOKUP(#REF!,'[3]0-LPM'!$A$6:$D$10668,4,0),"")</f>
        <v/>
      </c>
      <c r="M473" s="188"/>
      <c r="N473" s="198">
        <f>IFERROR(VLOOKUP(A473,'[3]0-LPM'!$A$6:$D$10668,4,0),"")</f>
        <v>1180.6400000000001</v>
      </c>
      <c r="O473" s="190"/>
    </row>
    <row r="474" spans="1:15" ht="12.2" customHeight="1" x14ac:dyDescent="0.25">
      <c r="A474" s="189" t="s">
        <v>978</v>
      </c>
      <c r="B474" s="207" t="s">
        <v>958</v>
      </c>
      <c r="C474" s="190" t="s">
        <v>979</v>
      </c>
      <c r="D474" s="191">
        <v>4300</v>
      </c>
      <c r="E474" s="192">
        <v>0</v>
      </c>
      <c r="F474" s="193">
        <f t="shared" si="24"/>
        <v>0</v>
      </c>
      <c r="G474" s="194">
        <f t="shared" si="25"/>
        <v>0</v>
      </c>
      <c r="H474" s="195">
        <f t="shared" si="26"/>
        <v>0</v>
      </c>
      <c r="I474" s="192">
        <f t="shared" si="27"/>
        <v>0</v>
      </c>
      <c r="J474" s="196"/>
      <c r="K474" s="196"/>
      <c r="L474" s="198" t="str">
        <f>IFERROR(VLOOKUP(#REF!,'[3]0-LPM'!$A$6:$D$10668,4,0),"")</f>
        <v/>
      </c>
      <c r="M474" s="188"/>
      <c r="N474" s="198">
        <f>IFERROR(VLOOKUP(A474,'[3]0-LPM'!$A$6:$D$10668,4,0),"")</f>
        <v>0</v>
      </c>
      <c r="O474" s="190"/>
    </row>
    <row r="475" spans="1:15" ht="12.2" customHeight="1" x14ac:dyDescent="0.25">
      <c r="A475" s="189" t="s">
        <v>980</v>
      </c>
      <c r="B475" s="207" t="s">
        <v>958</v>
      </c>
      <c r="C475" s="190" t="s">
        <v>981</v>
      </c>
      <c r="D475" s="191">
        <v>7000</v>
      </c>
      <c r="E475" s="192">
        <v>0</v>
      </c>
      <c r="F475" s="193">
        <f t="shared" si="24"/>
        <v>0</v>
      </c>
      <c r="G475" s="194">
        <f t="shared" si="25"/>
        <v>0</v>
      </c>
      <c r="H475" s="195">
        <f t="shared" si="26"/>
        <v>0</v>
      </c>
      <c r="I475" s="192">
        <f t="shared" si="27"/>
        <v>0</v>
      </c>
      <c r="J475" s="196"/>
      <c r="K475" s="196"/>
      <c r="L475" s="198" t="str">
        <f>IFERROR(VLOOKUP(#REF!,'[3]0-LPM'!$A$6:$D$10668,4,0),"")</f>
        <v/>
      </c>
      <c r="M475" s="188"/>
      <c r="N475" s="198">
        <f>IFERROR(VLOOKUP(A475,'[3]0-LPM'!$A$6:$D$10668,4,0),"")</f>
        <v>0</v>
      </c>
      <c r="O475" s="190"/>
    </row>
    <row r="476" spans="1:15" ht="12.2" customHeight="1" x14ac:dyDescent="0.25">
      <c r="A476" s="189" t="s">
        <v>982</v>
      </c>
      <c r="B476" s="207" t="s">
        <v>958</v>
      </c>
      <c r="C476" s="190" t="s">
        <v>983</v>
      </c>
      <c r="D476" s="191">
        <v>4300</v>
      </c>
      <c r="E476" s="192">
        <v>0</v>
      </c>
      <c r="F476" s="193">
        <f t="shared" si="24"/>
        <v>0</v>
      </c>
      <c r="G476" s="194">
        <f t="shared" si="25"/>
        <v>0</v>
      </c>
      <c r="H476" s="195">
        <f t="shared" si="26"/>
        <v>0</v>
      </c>
      <c r="I476" s="192">
        <f t="shared" si="27"/>
        <v>0</v>
      </c>
      <c r="J476" s="196"/>
      <c r="K476" s="196"/>
      <c r="L476" s="198" t="str">
        <f>IFERROR(VLOOKUP(#REF!,'[3]0-LPM'!$A$6:$D$10668,4,0),"")</f>
        <v/>
      </c>
      <c r="M476" s="188"/>
      <c r="N476" s="198">
        <f>IFERROR(VLOOKUP(A476,'[3]0-LPM'!$A$6:$D$10668,4,0),"")</f>
        <v>1062.57</v>
      </c>
      <c r="O476" s="190"/>
    </row>
    <row r="477" spans="1:15" ht="12.2" customHeight="1" x14ac:dyDescent="0.25">
      <c r="A477" s="189" t="s">
        <v>984</v>
      </c>
      <c r="B477" s="207" t="s">
        <v>958</v>
      </c>
      <c r="C477" s="190" t="s">
        <v>985</v>
      </c>
      <c r="D477" s="191">
        <v>0</v>
      </c>
      <c r="E477" s="192">
        <v>0</v>
      </c>
      <c r="F477" s="193">
        <f t="shared" ref="F477:F540" si="28">+ROUND(E477-H477*F$1,-1)</f>
        <v>0</v>
      </c>
      <c r="G477" s="194">
        <f t="shared" ref="G477:G540" si="29">+ROUND(E477-E477*G$1,-1)</f>
        <v>0</v>
      </c>
      <c r="H477" s="195">
        <f t="shared" ref="H477:H540" si="30">+ROUND(E477-E477*H$1,-1)</f>
        <v>0</v>
      </c>
      <c r="I477" s="192">
        <f t="shared" ref="I477:I540" si="31">+ROUND(E477-E477*I$1,-1)</f>
        <v>0</v>
      </c>
      <c r="J477" s="196"/>
      <c r="K477" s="196"/>
      <c r="L477" s="198" t="str">
        <f>IFERROR(VLOOKUP(#REF!,'[3]0-LPM'!$A$6:$D$10668,4,0),"")</f>
        <v/>
      </c>
      <c r="M477" s="188"/>
      <c r="N477" s="198">
        <f>IFERROR(VLOOKUP(A477,'[3]0-LPM'!$A$6:$D$10668,4,0),"")</f>
        <v>1889.02</v>
      </c>
      <c r="O477" s="190"/>
    </row>
    <row r="478" spans="1:15" ht="12.2" customHeight="1" x14ac:dyDescent="0.25">
      <c r="A478" s="189" t="s">
        <v>986</v>
      </c>
      <c r="B478" s="207" t="s">
        <v>958</v>
      </c>
      <c r="C478" s="190" t="s">
        <v>987</v>
      </c>
      <c r="D478" s="191">
        <v>2300</v>
      </c>
      <c r="E478" s="192">
        <v>0</v>
      </c>
      <c r="F478" s="193">
        <f t="shared" si="28"/>
        <v>0</v>
      </c>
      <c r="G478" s="194">
        <f t="shared" si="29"/>
        <v>0</v>
      </c>
      <c r="H478" s="195">
        <f t="shared" si="30"/>
        <v>0</v>
      </c>
      <c r="I478" s="192">
        <f t="shared" si="31"/>
        <v>0</v>
      </c>
      <c r="J478" s="196"/>
      <c r="K478" s="196"/>
      <c r="L478" s="198" t="str">
        <f>IFERROR(VLOOKUP(#REF!,'[3]0-LPM'!$A$6:$D$10668,4,0),"")</f>
        <v/>
      </c>
      <c r="M478" s="188"/>
      <c r="N478" s="198">
        <f>IFERROR(VLOOKUP(A478,'[3]0-LPM'!$A$6:$D$10668,4,0),"")</f>
        <v>0</v>
      </c>
      <c r="O478" s="190"/>
    </row>
    <row r="479" spans="1:15" ht="12.2" customHeight="1" x14ac:dyDescent="0.25">
      <c r="A479" s="189" t="s">
        <v>988</v>
      </c>
      <c r="B479" s="207" t="s">
        <v>958</v>
      </c>
      <c r="C479" s="190" t="s">
        <v>989</v>
      </c>
      <c r="D479" s="191">
        <v>4300</v>
      </c>
      <c r="E479" s="192">
        <v>0</v>
      </c>
      <c r="F479" s="193">
        <f t="shared" si="28"/>
        <v>0</v>
      </c>
      <c r="G479" s="194">
        <f t="shared" si="29"/>
        <v>0</v>
      </c>
      <c r="H479" s="195">
        <f t="shared" si="30"/>
        <v>0</v>
      </c>
      <c r="I479" s="192">
        <f t="shared" si="31"/>
        <v>0</v>
      </c>
      <c r="J479" s="196"/>
      <c r="K479" s="196"/>
      <c r="L479" s="198" t="str">
        <f>IFERROR(VLOOKUP(#REF!,'[3]0-LPM'!$A$6:$D$10668,4,0),"")</f>
        <v/>
      </c>
      <c r="M479" s="188"/>
      <c r="N479" s="198">
        <f>IFERROR(VLOOKUP(A479,'[3]0-LPM'!$A$6:$D$10668,4,0),"")</f>
        <v>1062.57</v>
      </c>
      <c r="O479" s="190"/>
    </row>
    <row r="480" spans="1:15" ht="12.2" customHeight="1" x14ac:dyDescent="0.25">
      <c r="A480" s="189" t="s">
        <v>990</v>
      </c>
      <c r="B480" s="207" t="s">
        <v>958</v>
      </c>
      <c r="C480" s="190" t="s">
        <v>991</v>
      </c>
      <c r="D480" s="191">
        <v>0</v>
      </c>
      <c r="E480" s="192">
        <v>0</v>
      </c>
      <c r="F480" s="193">
        <f t="shared" si="28"/>
        <v>0</v>
      </c>
      <c r="G480" s="194">
        <f t="shared" si="29"/>
        <v>0</v>
      </c>
      <c r="H480" s="195">
        <f t="shared" si="30"/>
        <v>0</v>
      </c>
      <c r="I480" s="192">
        <f t="shared" si="31"/>
        <v>0</v>
      </c>
      <c r="J480" s="196"/>
      <c r="K480" s="196"/>
      <c r="L480" s="198" t="str">
        <f>IFERROR(VLOOKUP(#REF!,'[3]0-LPM'!$A$6:$D$10668,4,0),"")</f>
        <v/>
      </c>
      <c r="M480" s="188"/>
      <c r="N480" s="198">
        <f>IFERROR(VLOOKUP(A480,'[3]0-LPM'!$A$6:$D$10668,4,0),"")</f>
        <v>1770.96</v>
      </c>
      <c r="O480" s="190"/>
    </row>
    <row r="481" spans="1:15" ht="12.2" customHeight="1" x14ac:dyDescent="0.25">
      <c r="A481" s="189" t="s">
        <v>992</v>
      </c>
      <c r="B481" s="207" t="s">
        <v>958</v>
      </c>
      <c r="C481" s="190" t="s">
        <v>993</v>
      </c>
      <c r="D481" s="191">
        <v>4300</v>
      </c>
      <c r="E481" s="192">
        <v>0</v>
      </c>
      <c r="F481" s="193">
        <f t="shared" si="28"/>
        <v>0</v>
      </c>
      <c r="G481" s="194">
        <f t="shared" si="29"/>
        <v>0</v>
      </c>
      <c r="H481" s="195">
        <f t="shared" si="30"/>
        <v>0</v>
      </c>
      <c r="I481" s="192">
        <f t="shared" si="31"/>
        <v>0</v>
      </c>
      <c r="J481" s="196"/>
      <c r="K481" s="196"/>
      <c r="L481" s="198" t="str">
        <f>IFERROR(VLOOKUP(#REF!,'[3]0-LPM'!$A$6:$D$10668,4,0),"")</f>
        <v/>
      </c>
      <c r="M481" s="188"/>
      <c r="N481" s="198">
        <f>IFERROR(VLOOKUP(A481,'[3]0-LPM'!$A$6:$D$10668,4,0),"")</f>
        <v>1180.6400000000001</v>
      </c>
      <c r="O481" s="190"/>
    </row>
    <row r="482" spans="1:15" ht="12.2" customHeight="1" x14ac:dyDescent="0.25">
      <c r="A482" s="189" t="s">
        <v>994</v>
      </c>
      <c r="B482" s="207" t="s">
        <v>958</v>
      </c>
      <c r="C482" s="190" t="s">
        <v>995</v>
      </c>
      <c r="D482" s="191">
        <v>4300</v>
      </c>
      <c r="E482" s="192">
        <v>0</v>
      </c>
      <c r="F482" s="193">
        <f t="shared" si="28"/>
        <v>0</v>
      </c>
      <c r="G482" s="194">
        <f t="shared" si="29"/>
        <v>0</v>
      </c>
      <c r="H482" s="195">
        <f t="shared" si="30"/>
        <v>0</v>
      </c>
      <c r="I482" s="192">
        <f t="shared" si="31"/>
        <v>0</v>
      </c>
      <c r="J482" s="196"/>
      <c r="K482" s="196"/>
      <c r="L482" s="198" t="str">
        <f>IFERROR(VLOOKUP(#REF!,'[3]0-LPM'!$A$6:$D$10668,4,0),"")</f>
        <v/>
      </c>
      <c r="M482" s="188"/>
      <c r="N482" s="198">
        <f>IFERROR(VLOOKUP(A482,'[3]0-LPM'!$A$6:$D$10668,4,0),"")</f>
        <v>1880.02</v>
      </c>
      <c r="O482" s="190"/>
    </row>
    <row r="483" spans="1:15" ht="12.2" customHeight="1" x14ac:dyDescent="0.25">
      <c r="A483" s="189" t="s">
        <v>996</v>
      </c>
      <c r="B483" s="207" t="s">
        <v>958</v>
      </c>
      <c r="C483" s="190" t="s">
        <v>997</v>
      </c>
      <c r="D483" s="191">
        <v>4300</v>
      </c>
      <c r="E483" s="192">
        <v>0</v>
      </c>
      <c r="F483" s="193">
        <f t="shared" si="28"/>
        <v>0</v>
      </c>
      <c r="G483" s="194">
        <f t="shared" si="29"/>
        <v>0</v>
      </c>
      <c r="H483" s="195">
        <f t="shared" si="30"/>
        <v>0</v>
      </c>
      <c r="I483" s="192">
        <f t="shared" si="31"/>
        <v>0</v>
      </c>
      <c r="J483" s="196"/>
      <c r="K483" s="196"/>
      <c r="L483" s="198" t="str">
        <f>IFERROR(VLOOKUP(#REF!,'[3]0-LPM'!$A$6:$D$10668,4,0),"")</f>
        <v/>
      </c>
      <c r="M483" s="188"/>
      <c r="N483" s="198" t="str">
        <f>IFERROR(VLOOKUP(A483,'[3]0-LPM'!$A$6:$D$10668,4,0),"")</f>
        <v/>
      </c>
      <c r="O483" s="190"/>
    </row>
    <row r="484" spans="1:15" ht="12.2" customHeight="1" x14ac:dyDescent="0.25">
      <c r="A484" s="189" t="s">
        <v>998</v>
      </c>
      <c r="B484" s="207" t="s">
        <v>958</v>
      </c>
      <c r="C484" s="190" t="s">
        <v>999</v>
      </c>
      <c r="D484" s="191">
        <v>7000</v>
      </c>
      <c r="E484" s="192">
        <v>0</v>
      </c>
      <c r="F484" s="193">
        <f t="shared" si="28"/>
        <v>0</v>
      </c>
      <c r="G484" s="194">
        <f t="shared" si="29"/>
        <v>0</v>
      </c>
      <c r="H484" s="195">
        <f t="shared" si="30"/>
        <v>0</v>
      </c>
      <c r="I484" s="192">
        <f t="shared" si="31"/>
        <v>0</v>
      </c>
      <c r="J484" s="196"/>
      <c r="K484" s="196"/>
      <c r="L484" s="198" t="str">
        <f>IFERROR(VLOOKUP(#REF!,'[3]0-LPM'!$A$6:$D$10668,4,0),"")</f>
        <v/>
      </c>
      <c r="M484" s="188"/>
      <c r="N484" s="198">
        <f>IFERROR(VLOOKUP(A484,'[3]0-LPM'!$A$6:$D$10668,4,0),"")</f>
        <v>1180.6400000000001</v>
      </c>
      <c r="O484" s="190"/>
    </row>
    <row r="485" spans="1:15" ht="12.2" customHeight="1" x14ac:dyDescent="0.25">
      <c r="A485" s="189" t="s">
        <v>1000</v>
      </c>
      <c r="B485" s="207" t="s">
        <v>958</v>
      </c>
      <c r="C485" s="190" t="s">
        <v>1001</v>
      </c>
      <c r="D485" s="191">
        <v>3100</v>
      </c>
      <c r="E485" s="192">
        <v>0</v>
      </c>
      <c r="F485" s="193">
        <f t="shared" si="28"/>
        <v>0</v>
      </c>
      <c r="G485" s="194">
        <f t="shared" si="29"/>
        <v>0</v>
      </c>
      <c r="H485" s="195">
        <f t="shared" si="30"/>
        <v>0</v>
      </c>
      <c r="I485" s="192">
        <f t="shared" si="31"/>
        <v>0</v>
      </c>
      <c r="J485" s="196"/>
      <c r="K485" s="196"/>
      <c r="L485" s="198" t="str">
        <f>IFERROR(VLOOKUP(#REF!,'[3]0-LPM'!$A$6:$D$10668,4,0),"")</f>
        <v/>
      </c>
      <c r="M485" s="188"/>
      <c r="N485" s="198">
        <f>IFERROR(VLOOKUP(A485,'[3]0-LPM'!$A$6:$D$10668,4,0),"")</f>
        <v>590.32000000000005</v>
      </c>
      <c r="O485" s="190"/>
    </row>
    <row r="486" spans="1:15" ht="12.2" customHeight="1" x14ac:dyDescent="0.25">
      <c r="A486" s="189" t="s">
        <v>1002</v>
      </c>
      <c r="B486" s="207" t="s">
        <v>958</v>
      </c>
      <c r="C486" s="190" t="s">
        <v>1003</v>
      </c>
      <c r="D486" s="191">
        <v>7000</v>
      </c>
      <c r="E486" s="192">
        <v>0</v>
      </c>
      <c r="F486" s="193">
        <f t="shared" si="28"/>
        <v>0</v>
      </c>
      <c r="G486" s="194">
        <f t="shared" si="29"/>
        <v>0</v>
      </c>
      <c r="H486" s="195">
        <f t="shared" si="30"/>
        <v>0</v>
      </c>
      <c r="I486" s="192">
        <f t="shared" si="31"/>
        <v>0</v>
      </c>
      <c r="J486" s="196"/>
      <c r="K486" s="196"/>
      <c r="L486" s="198" t="str">
        <f>IFERROR(VLOOKUP(#REF!,'[3]0-LPM'!$A$6:$D$10668,4,0),"")</f>
        <v/>
      </c>
      <c r="M486" s="188"/>
      <c r="N486" s="198">
        <f>IFERROR(VLOOKUP(A486,'[3]0-LPM'!$A$6:$D$10668,4,0),"")</f>
        <v>0</v>
      </c>
      <c r="O486" s="190"/>
    </row>
    <row r="487" spans="1:15" ht="12.2" customHeight="1" x14ac:dyDescent="0.25">
      <c r="A487" s="189" t="s">
        <v>1004</v>
      </c>
      <c r="B487" s="207" t="s">
        <v>958</v>
      </c>
      <c r="C487" s="190" t="s">
        <v>1005</v>
      </c>
      <c r="D487" s="191">
        <v>0</v>
      </c>
      <c r="E487" s="192">
        <v>0</v>
      </c>
      <c r="F487" s="193">
        <f t="shared" si="28"/>
        <v>0</v>
      </c>
      <c r="G487" s="194">
        <f t="shared" si="29"/>
        <v>0</v>
      </c>
      <c r="H487" s="195">
        <f t="shared" si="30"/>
        <v>0</v>
      </c>
      <c r="I487" s="192">
        <f t="shared" si="31"/>
        <v>0</v>
      </c>
      <c r="J487" s="196"/>
      <c r="K487" s="196"/>
      <c r="L487" s="198" t="str">
        <f>IFERROR(VLOOKUP(#REF!,'[3]0-LPM'!$A$6:$D$10668,4,0),"")</f>
        <v/>
      </c>
      <c r="M487" s="188"/>
      <c r="N487" s="198">
        <f>IFERROR(VLOOKUP(A487,'[3]0-LPM'!$A$6:$D$10668,4,0),"")</f>
        <v>0</v>
      </c>
      <c r="O487" s="190"/>
    </row>
    <row r="488" spans="1:15" ht="12.2" customHeight="1" x14ac:dyDescent="0.25">
      <c r="A488" s="189" t="s">
        <v>1006</v>
      </c>
      <c r="B488" s="207" t="s">
        <v>958</v>
      </c>
      <c r="C488" s="190" t="s">
        <v>1007</v>
      </c>
      <c r="D488" s="191">
        <v>0</v>
      </c>
      <c r="E488" s="192">
        <v>0</v>
      </c>
      <c r="F488" s="193">
        <f t="shared" si="28"/>
        <v>0</v>
      </c>
      <c r="G488" s="194">
        <f t="shared" si="29"/>
        <v>0</v>
      </c>
      <c r="H488" s="195">
        <f t="shared" si="30"/>
        <v>0</v>
      </c>
      <c r="I488" s="192">
        <f t="shared" si="31"/>
        <v>0</v>
      </c>
      <c r="J488" s="196"/>
      <c r="K488" s="196"/>
      <c r="L488" s="198" t="str">
        <f>IFERROR(VLOOKUP(#REF!,'[3]0-LPM'!$A$6:$D$10668,4,0),"")</f>
        <v/>
      </c>
      <c r="M488" s="188"/>
      <c r="N488" s="198">
        <f>IFERROR(VLOOKUP(A488,'[3]0-LPM'!$A$6:$D$10668,4,0),"")</f>
        <v>0</v>
      </c>
      <c r="O488" s="190"/>
    </row>
    <row r="489" spans="1:15" ht="12.2" customHeight="1" x14ac:dyDescent="0.25">
      <c r="A489" s="189" t="s">
        <v>1008</v>
      </c>
      <c r="B489" s="207" t="s">
        <v>958</v>
      </c>
      <c r="C489" s="190" t="s">
        <v>1009</v>
      </c>
      <c r="D489" s="191">
        <v>0</v>
      </c>
      <c r="E489" s="192">
        <v>0</v>
      </c>
      <c r="F489" s="193">
        <f t="shared" si="28"/>
        <v>0</v>
      </c>
      <c r="G489" s="194">
        <f t="shared" si="29"/>
        <v>0</v>
      </c>
      <c r="H489" s="195">
        <f t="shared" si="30"/>
        <v>0</v>
      </c>
      <c r="I489" s="192">
        <f t="shared" si="31"/>
        <v>0</v>
      </c>
      <c r="J489" s="196"/>
      <c r="K489" s="196"/>
      <c r="L489" s="198" t="str">
        <f>IFERROR(VLOOKUP(#REF!,'[3]0-LPM'!$A$6:$D$10668,4,0),"")</f>
        <v/>
      </c>
      <c r="M489" s="188"/>
      <c r="N489" s="198">
        <f>IFERROR(VLOOKUP(A489,'[3]0-LPM'!$A$6:$D$10668,4,0),"")</f>
        <v>0</v>
      </c>
      <c r="O489" s="190"/>
    </row>
    <row r="490" spans="1:15" ht="12.2" customHeight="1" x14ac:dyDescent="0.25">
      <c r="A490" s="189" t="s">
        <v>1010</v>
      </c>
      <c r="B490" s="207" t="s">
        <v>958</v>
      </c>
      <c r="C490" s="190" t="s">
        <v>1011</v>
      </c>
      <c r="D490" s="191">
        <v>4300</v>
      </c>
      <c r="E490" s="192">
        <v>0</v>
      </c>
      <c r="F490" s="193">
        <f t="shared" si="28"/>
        <v>0</v>
      </c>
      <c r="G490" s="194">
        <f t="shared" si="29"/>
        <v>0</v>
      </c>
      <c r="H490" s="195">
        <f t="shared" si="30"/>
        <v>0</v>
      </c>
      <c r="I490" s="192">
        <f t="shared" si="31"/>
        <v>0</v>
      </c>
      <c r="J490" s="196"/>
      <c r="K490" s="196"/>
      <c r="L490" s="198" t="str">
        <f>IFERROR(VLOOKUP(#REF!,'[3]0-LPM'!$A$6:$D$10668,4,0),"")</f>
        <v/>
      </c>
      <c r="M490" s="188"/>
      <c r="N490" s="198">
        <f>IFERROR(VLOOKUP(A490,'[3]0-LPM'!$A$6:$D$10668,4,0),"")</f>
        <v>590.32000000000005</v>
      </c>
      <c r="O490" s="190"/>
    </row>
    <row r="491" spans="1:15" ht="12.2" customHeight="1" x14ac:dyDescent="0.25">
      <c r="A491" s="189" t="s">
        <v>1012</v>
      </c>
      <c r="B491" s="207" t="s">
        <v>958</v>
      </c>
      <c r="C491" s="190" t="s">
        <v>1013</v>
      </c>
      <c r="D491" s="191">
        <v>7000</v>
      </c>
      <c r="E491" s="192">
        <v>0</v>
      </c>
      <c r="F491" s="193">
        <f t="shared" si="28"/>
        <v>0</v>
      </c>
      <c r="G491" s="194">
        <f t="shared" si="29"/>
        <v>0</v>
      </c>
      <c r="H491" s="195">
        <f t="shared" si="30"/>
        <v>0</v>
      </c>
      <c r="I491" s="192">
        <f t="shared" si="31"/>
        <v>0</v>
      </c>
      <c r="J491" s="196"/>
      <c r="K491" s="196"/>
      <c r="L491" s="198" t="str">
        <f>IFERROR(VLOOKUP(#REF!,'[3]0-LPM'!$A$6:$D$10668,4,0),"")</f>
        <v/>
      </c>
      <c r="M491" s="188"/>
      <c r="N491" s="198">
        <f>IFERROR(VLOOKUP(A491,'[3]0-LPM'!$A$6:$D$10668,4,0),"")</f>
        <v>0</v>
      </c>
      <c r="O491" s="190"/>
    </row>
    <row r="492" spans="1:15" ht="12.2" customHeight="1" x14ac:dyDescent="0.25">
      <c r="A492" s="204"/>
      <c r="B492" s="205"/>
      <c r="C492" s="206" t="str">
        <f>+B493</f>
        <v>LASERENISIMA</v>
      </c>
      <c r="D492" s="191">
        <v>0</v>
      </c>
      <c r="E492" s="192">
        <v>0</v>
      </c>
      <c r="F492" s="193">
        <f t="shared" si="28"/>
        <v>0</v>
      </c>
      <c r="G492" s="194">
        <f t="shared" si="29"/>
        <v>0</v>
      </c>
      <c r="H492" s="195">
        <f t="shared" si="30"/>
        <v>0</v>
      </c>
      <c r="I492" s="192">
        <f t="shared" si="31"/>
        <v>0</v>
      </c>
      <c r="J492" s="196"/>
      <c r="K492" s="196"/>
      <c r="L492" s="198" t="str">
        <f>IFERROR(VLOOKUP(#REF!,'[3]0-LPM'!$A$6:$D$10668,4,0),"")</f>
        <v/>
      </c>
      <c r="M492" s="188"/>
      <c r="N492" s="198" t="str">
        <f>IFERROR(VLOOKUP(A492,'[3]0-LPM'!$A$6:$D$10668,4,0),"")</f>
        <v/>
      </c>
      <c r="O492" s="206"/>
    </row>
    <row r="493" spans="1:15" ht="12.2" customHeight="1" x14ac:dyDescent="0.25">
      <c r="A493" s="189" t="s">
        <v>1014</v>
      </c>
      <c r="B493" s="207" t="s">
        <v>1015</v>
      </c>
      <c r="C493" s="190" t="s">
        <v>1016</v>
      </c>
      <c r="D493" s="191">
        <v>2600</v>
      </c>
      <c r="E493" s="192">
        <v>0</v>
      </c>
      <c r="F493" s="193">
        <f t="shared" si="28"/>
        <v>0</v>
      </c>
      <c r="G493" s="194">
        <f t="shared" si="29"/>
        <v>0</v>
      </c>
      <c r="H493" s="195">
        <f t="shared" si="30"/>
        <v>0</v>
      </c>
      <c r="I493" s="192">
        <f t="shared" si="31"/>
        <v>0</v>
      </c>
      <c r="J493" s="196"/>
      <c r="K493" s="196"/>
      <c r="L493" s="198" t="str">
        <f>IFERROR(VLOOKUP(#REF!,'[3]0-LPM'!$A$6:$D$10668,4,0),"")</f>
        <v/>
      </c>
      <c r="M493" s="188"/>
      <c r="N493" s="198">
        <f>IFERROR(VLOOKUP(A493,'[3]0-LPM'!$A$6:$D$10668,4,0),"")</f>
        <v>1135.4000000000001</v>
      </c>
      <c r="O493" s="190"/>
    </row>
    <row r="494" spans="1:15" ht="12.2" customHeight="1" x14ac:dyDescent="0.25">
      <c r="A494" s="189" t="s">
        <v>1017</v>
      </c>
      <c r="B494" s="207" t="s">
        <v>1015</v>
      </c>
      <c r="C494" s="190" t="s">
        <v>1018</v>
      </c>
      <c r="D494" s="191">
        <v>4800</v>
      </c>
      <c r="E494" s="192">
        <v>0</v>
      </c>
      <c r="F494" s="193">
        <f t="shared" si="28"/>
        <v>0</v>
      </c>
      <c r="G494" s="194">
        <f t="shared" si="29"/>
        <v>0</v>
      </c>
      <c r="H494" s="195">
        <f t="shared" si="30"/>
        <v>0</v>
      </c>
      <c r="I494" s="192">
        <f t="shared" si="31"/>
        <v>0</v>
      </c>
      <c r="J494" s="196"/>
      <c r="K494" s="196"/>
      <c r="L494" s="198" t="str">
        <f>IFERROR(VLOOKUP(#REF!,'[3]0-LPM'!$A$6:$D$10668,4,0),"")</f>
        <v/>
      </c>
      <c r="M494" s="188"/>
      <c r="N494" s="198">
        <f>IFERROR(VLOOKUP(A494,'[3]0-LPM'!$A$6:$D$10668,4,0),"")</f>
        <v>1425</v>
      </c>
      <c r="O494" s="190"/>
    </row>
    <row r="495" spans="1:15" ht="12.2" customHeight="1" x14ac:dyDescent="0.25">
      <c r="A495" s="189" t="s">
        <v>1019</v>
      </c>
      <c r="B495" s="207" t="s">
        <v>1015</v>
      </c>
      <c r="C495" s="190" t="s">
        <v>1020</v>
      </c>
      <c r="D495" s="191">
        <v>8000</v>
      </c>
      <c r="E495" s="192">
        <v>0</v>
      </c>
      <c r="F495" s="193">
        <f t="shared" si="28"/>
        <v>0</v>
      </c>
      <c r="G495" s="194">
        <f t="shared" si="29"/>
        <v>0</v>
      </c>
      <c r="H495" s="195">
        <f t="shared" si="30"/>
        <v>0</v>
      </c>
      <c r="I495" s="192">
        <f t="shared" si="31"/>
        <v>0</v>
      </c>
      <c r="J495" s="196"/>
      <c r="K495" s="196"/>
      <c r="L495" s="198" t="str">
        <f>IFERROR(VLOOKUP(#REF!,'[3]0-LPM'!$A$6:$D$10668,4,0),"")</f>
        <v/>
      </c>
      <c r="M495" s="188"/>
      <c r="N495" s="198">
        <f>IFERROR(VLOOKUP(A495,'[3]0-LPM'!$A$6:$D$10668,4,0),"")</f>
        <v>2979.04</v>
      </c>
      <c r="O495" s="190"/>
    </row>
    <row r="496" spans="1:15" ht="12.2" customHeight="1" x14ac:dyDescent="0.25">
      <c r="A496" s="189" t="s">
        <v>1021</v>
      </c>
      <c r="B496" s="207" t="s">
        <v>1015</v>
      </c>
      <c r="C496" s="190" t="s">
        <v>1022</v>
      </c>
      <c r="D496" s="191">
        <v>4800</v>
      </c>
      <c r="E496" s="192">
        <v>0</v>
      </c>
      <c r="F496" s="193">
        <f t="shared" si="28"/>
        <v>0</v>
      </c>
      <c r="G496" s="194">
        <f t="shared" si="29"/>
        <v>0</v>
      </c>
      <c r="H496" s="195">
        <f t="shared" si="30"/>
        <v>0</v>
      </c>
      <c r="I496" s="192">
        <f t="shared" si="31"/>
        <v>0</v>
      </c>
      <c r="J496" s="196"/>
      <c r="K496" s="196"/>
      <c r="L496" s="198" t="str">
        <f>IFERROR(VLOOKUP(#REF!,'[3]0-LPM'!$A$6:$D$10668,4,0),"")</f>
        <v/>
      </c>
      <c r="M496" s="188"/>
      <c r="N496" s="198">
        <f>IFERROR(VLOOKUP(A496,'[3]0-LPM'!$A$6:$D$10668,4,0),"")</f>
        <v>2979.04</v>
      </c>
      <c r="O496" s="190"/>
    </row>
    <row r="497" spans="1:15" ht="12.2" customHeight="1" x14ac:dyDescent="0.25">
      <c r="A497" s="189" t="s">
        <v>1023</v>
      </c>
      <c r="B497" s="207" t="s">
        <v>1015</v>
      </c>
      <c r="C497" s="190" t="s">
        <v>1024</v>
      </c>
      <c r="D497" s="191">
        <v>4500</v>
      </c>
      <c r="E497" s="192">
        <v>0</v>
      </c>
      <c r="F497" s="193">
        <f t="shared" si="28"/>
        <v>0</v>
      </c>
      <c r="G497" s="194">
        <f t="shared" si="29"/>
        <v>0</v>
      </c>
      <c r="H497" s="195">
        <f t="shared" si="30"/>
        <v>0</v>
      </c>
      <c r="I497" s="192">
        <f t="shared" si="31"/>
        <v>0</v>
      </c>
      <c r="J497" s="196"/>
      <c r="K497" s="196"/>
      <c r="L497" s="198" t="str">
        <f>IFERROR(VLOOKUP(#REF!,'[3]0-LPM'!$A$6:$D$10668,4,0),"")</f>
        <v/>
      </c>
      <c r="M497" s="188"/>
      <c r="N497" s="198">
        <f>IFERROR(VLOOKUP(A497,'[3]0-LPM'!$A$6:$D$10668,4,0),"")</f>
        <v>0</v>
      </c>
      <c r="O497" s="190"/>
    </row>
    <row r="498" spans="1:15" ht="12.2" customHeight="1" x14ac:dyDescent="0.25">
      <c r="A498" s="189" t="s">
        <v>1025</v>
      </c>
      <c r="B498" s="207" t="s">
        <v>1015</v>
      </c>
      <c r="C498" s="190" t="s">
        <v>1026</v>
      </c>
      <c r="D498" s="191">
        <v>5700</v>
      </c>
      <c r="E498" s="192">
        <v>0</v>
      </c>
      <c r="F498" s="193">
        <f t="shared" si="28"/>
        <v>0</v>
      </c>
      <c r="G498" s="194">
        <f t="shared" si="29"/>
        <v>0</v>
      </c>
      <c r="H498" s="195">
        <f t="shared" si="30"/>
        <v>0</v>
      </c>
      <c r="I498" s="192">
        <f t="shared" si="31"/>
        <v>0</v>
      </c>
      <c r="J498" s="196"/>
      <c r="K498" s="196"/>
      <c r="L498" s="198" t="str">
        <f>IFERROR(VLOOKUP(#REF!,'[3]0-LPM'!$A$6:$D$10668,4,0),"")</f>
        <v/>
      </c>
      <c r="M498" s="188"/>
      <c r="N498" s="198">
        <f>IFERROR(VLOOKUP(A498,'[3]0-LPM'!$A$6:$D$10668,4,0),"")</f>
        <v>0</v>
      </c>
      <c r="O498" s="190"/>
    </row>
    <row r="499" spans="1:15" ht="12.2" customHeight="1" x14ac:dyDescent="0.25">
      <c r="A499" s="189" t="s">
        <v>1027</v>
      </c>
      <c r="B499" s="207" t="s">
        <v>1015</v>
      </c>
      <c r="C499" s="190" t="s">
        <v>1028</v>
      </c>
      <c r="D499" s="191">
        <v>2600</v>
      </c>
      <c r="E499" s="192">
        <v>0</v>
      </c>
      <c r="F499" s="193">
        <f t="shared" si="28"/>
        <v>0</v>
      </c>
      <c r="G499" s="194">
        <f t="shared" si="29"/>
        <v>0</v>
      </c>
      <c r="H499" s="195">
        <f t="shared" si="30"/>
        <v>0</v>
      </c>
      <c r="I499" s="192">
        <f t="shared" si="31"/>
        <v>0</v>
      </c>
      <c r="J499" s="196"/>
      <c r="K499" s="196"/>
      <c r="L499" s="198" t="str">
        <f>IFERROR(VLOOKUP(#REF!,'[3]0-LPM'!$A$6:$D$10668,4,0),"")</f>
        <v/>
      </c>
      <c r="M499" s="188"/>
      <c r="N499" s="198">
        <f>IFERROR(VLOOKUP(A499,'[3]0-LPM'!$A$6:$D$10668,4,0),"")</f>
        <v>0</v>
      </c>
      <c r="O499" s="190"/>
    </row>
    <row r="500" spans="1:15" ht="12.2" customHeight="1" x14ac:dyDescent="0.25">
      <c r="A500" s="189" t="s">
        <v>1029</v>
      </c>
      <c r="B500" s="207" t="s">
        <v>1015</v>
      </c>
      <c r="C500" s="190" t="s">
        <v>1030</v>
      </c>
      <c r="D500" s="191">
        <v>4800</v>
      </c>
      <c r="E500" s="192">
        <v>0</v>
      </c>
      <c r="F500" s="193">
        <f t="shared" si="28"/>
        <v>0</v>
      </c>
      <c r="G500" s="194">
        <f t="shared" si="29"/>
        <v>0</v>
      </c>
      <c r="H500" s="195">
        <f t="shared" si="30"/>
        <v>0</v>
      </c>
      <c r="I500" s="192">
        <f t="shared" si="31"/>
        <v>0</v>
      </c>
      <c r="J500" s="196"/>
      <c r="K500" s="196"/>
      <c r="L500" s="198" t="str">
        <f>IFERROR(VLOOKUP(#REF!,'[3]0-LPM'!$A$6:$D$10668,4,0),"")</f>
        <v/>
      </c>
      <c r="M500" s="188"/>
      <c r="N500" s="198">
        <f>IFERROR(VLOOKUP(A500,'[3]0-LPM'!$A$6:$D$10668,4,0),"")</f>
        <v>1048.3900000000001</v>
      </c>
      <c r="O500" s="190"/>
    </row>
    <row r="501" spans="1:15" ht="12.2" customHeight="1" x14ac:dyDescent="0.25">
      <c r="A501" s="189" t="s">
        <v>1031</v>
      </c>
      <c r="B501" s="207" t="s">
        <v>1015</v>
      </c>
      <c r="C501" s="190" t="s">
        <v>1032</v>
      </c>
      <c r="D501" s="191">
        <v>8300</v>
      </c>
      <c r="E501" s="192">
        <v>0</v>
      </c>
      <c r="F501" s="193">
        <f t="shared" si="28"/>
        <v>0</v>
      </c>
      <c r="G501" s="194">
        <f t="shared" si="29"/>
        <v>0</v>
      </c>
      <c r="H501" s="195">
        <f t="shared" si="30"/>
        <v>0</v>
      </c>
      <c r="I501" s="192">
        <f t="shared" si="31"/>
        <v>0</v>
      </c>
      <c r="J501" s="196"/>
      <c r="K501" s="196"/>
      <c r="L501" s="198" t="str">
        <f>IFERROR(VLOOKUP(#REF!,'[3]0-LPM'!$A$6:$D$10668,4,0),"")</f>
        <v/>
      </c>
      <c r="M501" s="188"/>
      <c r="N501" s="198">
        <f>IFERROR(VLOOKUP(A501,'[3]0-LPM'!$A$6:$D$10668,4,0),"")</f>
        <v>2754.29</v>
      </c>
      <c r="O501" s="190"/>
    </row>
    <row r="502" spans="1:15" ht="12.2" customHeight="1" x14ac:dyDescent="0.25">
      <c r="A502" s="189" t="s">
        <v>1033</v>
      </c>
      <c r="B502" s="207" t="s">
        <v>1015</v>
      </c>
      <c r="C502" s="190" t="s">
        <v>1034</v>
      </c>
      <c r="D502" s="191">
        <v>2600</v>
      </c>
      <c r="E502" s="192">
        <v>0</v>
      </c>
      <c r="F502" s="193">
        <f t="shared" si="28"/>
        <v>0</v>
      </c>
      <c r="G502" s="194">
        <f t="shared" si="29"/>
        <v>0</v>
      </c>
      <c r="H502" s="195">
        <f t="shared" si="30"/>
        <v>0</v>
      </c>
      <c r="I502" s="192">
        <f t="shared" si="31"/>
        <v>0</v>
      </c>
      <c r="J502" s="196"/>
      <c r="K502" s="196"/>
      <c r="L502" s="198" t="str">
        <f>IFERROR(VLOOKUP(#REF!,'[3]0-LPM'!$A$6:$D$10668,4,0),"")</f>
        <v/>
      </c>
      <c r="M502" s="188"/>
      <c r="N502" s="198">
        <f>IFERROR(VLOOKUP(A502,'[3]0-LPM'!$A$6:$D$10668,4,0),"")</f>
        <v>0</v>
      </c>
      <c r="O502" s="190"/>
    </row>
    <row r="503" spans="1:15" ht="12.2" customHeight="1" x14ac:dyDescent="0.25">
      <c r="A503" s="204"/>
      <c r="B503" s="205"/>
      <c r="C503" s="206" t="s">
        <v>1035</v>
      </c>
      <c r="D503" s="191">
        <v>0</v>
      </c>
      <c r="E503" s="192">
        <v>0</v>
      </c>
      <c r="F503" s="193">
        <f t="shared" si="28"/>
        <v>0</v>
      </c>
      <c r="G503" s="194">
        <f t="shared" si="29"/>
        <v>0</v>
      </c>
      <c r="H503" s="195">
        <f t="shared" si="30"/>
        <v>0</v>
      </c>
      <c r="I503" s="192">
        <f t="shared" si="31"/>
        <v>0</v>
      </c>
      <c r="J503" s="196"/>
      <c r="K503" s="196"/>
      <c r="L503" s="198" t="str">
        <f>IFERROR(VLOOKUP(#REF!,'[3]0-LPM'!$A$6:$D$10668,4,0),"")</f>
        <v/>
      </c>
      <c r="M503" s="188"/>
      <c r="N503" s="198" t="str">
        <f>IFERROR(VLOOKUP(A503,'[3]0-LPM'!$A$6:$D$10668,4,0),"")</f>
        <v/>
      </c>
      <c r="O503" s="206"/>
    </row>
    <row r="504" spans="1:15" ht="12.2" customHeight="1" x14ac:dyDescent="0.25">
      <c r="A504" s="189" t="s">
        <v>1036</v>
      </c>
      <c r="B504" s="207" t="s">
        <v>1035</v>
      </c>
      <c r="C504" s="190" t="s">
        <v>1037</v>
      </c>
      <c r="D504" s="191">
        <v>0</v>
      </c>
      <c r="E504" s="192">
        <v>0</v>
      </c>
      <c r="F504" s="193">
        <f t="shared" si="28"/>
        <v>0</v>
      </c>
      <c r="G504" s="194">
        <f t="shared" si="29"/>
        <v>0</v>
      </c>
      <c r="H504" s="195">
        <f t="shared" si="30"/>
        <v>0</v>
      </c>
      <c r="I504" s="192">
        <f t="shared" si="31"/>
        <v>0</v>
      </c>
      <c r="J504" s="196"/>
      <c r="K504" s="196"/>
      <c r="L504" s="198" t="str">
        <f>IFERROR(VLOOKUP(#REF!,'[3]0-LPM'!$A$6:$D$10668,4,0),"")</f>
        <v/>
      </c>
      <c r="M504" s="188"/>
      <c r="N504" s="198">
        <f>IFERROR(VLOOKUP(A504,'[3]0-LPM'!$A$6:$D$10668,4,0),"")</f>
        <v>0</v>
      </c>
      <c r="O504" s="190"/>
    </row>
    <row r="505" spans="1:15" ht="12.2" customHeight="1" x14ac:dyDescent="0.25">
      <c r="A505" s="189" t="s">
        <v>1038</v>
      </c>
      <c r="B505" s="207" t="s">
        <v>1035</v>
      </c>
      <c r="C505" s="190" t="s">
        <v>1039</v>
      </c>
      <c r="D505" s="191">
        <v>0</v>
      </c>
      <c r="E505" s="192">
        <v>9400</v>
      </c>
      <c r="F505" s="193">
        <f t="shared" si="28"/>
        <v>7710</v>
      </c>
      <c r="G505" s="194">
        <f t="shared" si="29"/>
        <v>7990</v>
      </c>
      <c r="H505" s="195">
        <f t="shared" si="30"/>
        <v>8460</v>
      </c>
      <c r="I505" s="192">
        <f t="shared" si="31"/>
        <v>8930</v>
      </c>
      <c r="J505" s="196"/>
      <c r="K505" s="196"/>
      <c r="L505" s="198" t="str">
        <f>IFERROR(VLOOKUP(#REF!,'[3]0-LPM'!$A$6:$D$10668,4,0),"")</f>
        <v/>
      </c>
      <c r="M505" s="188"/>
      <c r="N505" s="198">
        <f>IFERROR(VLOOKUP(A505,'[3]0-LPM'!$A$6:$D$10668,4,0),"")</f>
        <v>3862</v>
      </c>
      <c r="O505" s="190"/>
    </row>
    <row r="506" spans="1:15" ht="12.2" customHeight="1" x14ac:dyDescent="0.25">
      <c r="A506" s="189" t="s">
        <v>1040</v>
      </c>
      <c r="B506" s="207" t="s">
        <v>1035</v>
      </c>
      <c r="C506" s="190" t="s">
        <v>1041</v>
      </c>
      <c r="D506" s="191">
        <v>0</v>
      </c>
      <c r="E506" s="192">
        <v>0</v>
      </c>
      <c r="F506" s="193">
        <f t="shared" si="28"/>
        <v>0</v>
      </c>
      <c r="G506" s="194">
        <f t="shared" si="29"/>
        <v>0</v>
      </c>
      <c r="H506" s="195">
        <f t="shared" si="30"/>
        <v>0</v>
      </c>
      <c r="I506" s="192">
        <f t="shared" si="31"/>
        <v>0</v>
      </c>
      <c r="J506" s="196"/>
      <c r="K506" s="196"/>
      <c r="L506" s="198" t="str">
        <f>IFERROR(VLOOKUP(#REF!,'[3]0-LPM'!$A$6:$D$10668,4,0),"")</f>
        <v/>
      </c>
      <c r="M506" s="188"/>
      <c r="N506" s="198">
        <f>IFERROR(VLOOKUP(A506,'[3]0-LPM'!$A$6:$D$10668,4,0),"")</f>
        <v>6000</v>
      </c>
      <c r="O506" s="190"/>
    </row>
    <row r="507" spans="1:15" ht="12.2" customHeight="1" x14ac:dyDescent="0.25">
      <c r="A507" s="189" t="s">
        <v>1042</v>
      </c>
      <c r="B507" s="207" t="s">
        <v>1035</v>
      </c>
      <c r="C507" s="190" t="s">
        <v>1043</v>
      </c>
      <c r="D507" s="191">
        <v>0</v>
      </c>
      <c r="E507" s="192">
        <v>0</v>
      </c>
      <c r="F507" s="193">
        <f t="shared" si="28"/>
        <v>0</v>
      </c>
      <c r="G507" s="194">
        <f t="shared" si="29"/>
        <v>0</v>
      </c>
      <c r="H507" s="195">
        <f t="shared" si="30"/>
        <v>0</v>
      </c>
      <c r="I507" s="192">
        <f t="shared" si="31"/>
        <v>0</v>
      </c>
      <c r="J507" s="196"/>
      <c r="K507" s="196"/>
      <c r="L507" s="198" t="str">
        <f>IFERROR(VLOOKUP(#REF!,'[3]0-LPM'!$A$6:$D$10668,4,0),"")</f>
        <v/>
      </c>
      <c r="M507" s="188"/>
      <c r="N507" s="198">
        <f>IFERROR(VLOOKUP(A507,'[3]0-LPM'!$A$6:$D$10668,4,0),"")</f>
        <v>0</v>
      </c>
      <c r="O507" s="190"/>
    </row>
    <row r="508" spans="1:15" ht="12.2" customHeight="1" x14ac:dyDescent="0.25">
      <c r="A508" s="189" t="s">
        <v>1044</v>
      </c>
      <c r="B508" s="207" t="s">
        <v>1035</v>
      </c>
      <c r="C508" s="190" t="s">
        <v>1045</v>
      </c>
      <c r="D508" s="191">
        <v>0</v>
      </c>
      <c r="E508" s="192">
        <v>0</v>
      </c>
      <c r="F508" s="193">
        <f t="shared" si="28"/>
        <v>0</v>
      </c>
      <c r="G508" s="194">
        <f t="shared" si="29"/>
        <v>0</v>
      </c>
      <c r="H508" s="195">
        <f t="shared" si="30"/>
        <v>0</v>
      </c>
      <c r="I508" s="192">
        <f t="shared" si="31"/>
        <v>0</v>
      </c>
      <c r="J508" s="196"/>
      <c r="K508" s="196"/>
      <c r="L508" s="198" t="str">
        <f>IFERROR(VLOOKUP(#REF!,'[3]0-LPM'!$A$6:$D$10668,4,0),"")</f>
        <v/>
      </c>
      <c r="M508" s="188"/>
      <c r="N508" s="198">
        <f>IFERROR(VLOOKUP(A508,'[3]0-LPM'!$A$6:$D$10668,4,0),"")</f>
        <v>0</v>
      </c>
      <c r="O508" s="190"/>
    </row>
    <row r="509" spans="1:15" ht="12.2" customHeight="1" x14ac:dyDescent="0.25">
      <c r="A509" s="189" t="s">
        <v>1046</v>
      </c>
      <c r="B509" s="207" t="s">
        <v>1035</v>
      </c>
      <c r="C509" s="190" t="s">
        <v>1047</v>
      </c>
      <c r="D509" s="191">
        <v>0</v>
      </c>
      <c r="E509" s="192">
        <v>9200</v>
      </c>
      <c r="F509" s="193">
        <f t="shared" si="28"/>
        <v>7540</v>
      </c>
      <c r="G509" s="194">
        <f t="shared" si="29"/>
        <v>7820</v>
      </c>
      <c r="H509" s="195">
        <f t="shared" si="30"/>
        <v>8280</v>
      </c>
      <c r="I509" s="192">
        <f t="shared" si="31"/>
        <v>8740</v>
      </c>
      <c r="J509" s="196"/>
      <c r="K509" s="196"/>
      <c r="L509" s="198" t="str">
        <f>IFERROR(VLOOKUP(#REF!,'[3]0-LPM'!$A$6:$D$10668,4,0),"")</f>
        <v/>
      </c>
      <c r="M509" s="188"/>
      <c r="N509" s="198">
        <f>IFERROR(VLOOKUP(A509,'[3]0-LPM'!$A$6:$D$10668,4,0),"")</f>
        <v>736.66666666666663</v>
      </c>
      <c r="O509" s="190"/>
    </row>
    <row r="510" spans="1:15" ht="12.2" customHeight="1" x14ac:dyDescent="0.25">
      <c r="A510" s="189" t="s">
        <v>1048</v>
      </c>
      <c r="B510" s="207" t="s">
        <v>1035</v>
      </c>
      <c r="C510" s="190" t="s">
        <v>1049</v>
      </c>
      <c r="D510" s="191">
        <v>0</v>
      </c>
      <c r="E510" s="192">
        <v>5400</v>
      </c>
      <c r="F510" s="193">
        <f t="shared" si="28"/>
        <v>4430</v>
      </c>
      <c r="G510" s="194">
        <f t="shared" si="29"/>
        <v>4590</v>
      </c>
      <c r="H510" s="195">
        <f t="shared" si="30"/>
        <v>4860</v>
      </c>
      <c r="I510" s="192">
        <f t="shared" si="31"/>
        <v>5130</v>
      </c>
      <c r="J510" s="196"/>
      <c r="K510" s="196"/>
      <c r="L510" s="198" t="str">
        <f>IFERROR(VLOOKUP(#REF!,'[3]0-LPM'!$A$6:$D$10668,4,0),"")</f>
        <v/>
      </c>
      <c r="M510" s="188"/>
      <c r="N510" s="198">
        <f>IFERROR(VLOOKUP(A510,'[3]0-LPM'!$A$6:$D$10668,4,0),"")</f>
        <v>2432</v>
      </c>
      <c r="O510" s="190"/>
    </row>
    <row r="511" spans="1:15" ht="12.2" customHeight="1" x14ac:dyDescent="0.25">
      <c r="A511" s="189" t="s">
        <v>1050</v>
      </c>
      <c r="B511" s="207" t="s">
        <v>1035</v>
      </c>
      <c r="C511" s="190" t="s">
        <v>1051</v>
      </c>
      <c r="D511" s="191">
        <v>0</v>
      </c>
      <c r="E511" s="192">
        <v>11200</v>
      </c>
      <c r="F511" s="193">
        <f t="shared" si="28"/>
        <v>9180</v>
      </c>
      <c r="G511" s="194">
        <f t="shared" si="29"/>
        <v>9520</v>
      </c>
      <c r="H511" s="195">
        <f t="shared" si="30"/>
        <v>10080</v>
      </c>
      <c r="I511" s="192">
        <f t="shared" si="31"/>
        <v>10640</v>
      </c>
      <c r="J511" s="196"/>
      <c r="K511" s="196"/>
      <c r="L511" s="198" t="str">
        <f>IFERROR(VLOOKUP(#REF!,'[3]0-LPM'!$A$6:$D$10668,4,0),"")</f>
        <v/>
      </c>
      <c r="M511" s="188"/>
      <c r="N511" s="198">
        <f>IFERROR(VLOOKUP(A511,'[3]0-LPM'!$A$6:$D$10668,4,0),"")</f>
        <v>5088</v>
      </c>
      <c r="O511" s="190"/>
    </row>
    <row r="512" spans="1:15" ht="12.2" customHeight="1" x14ac:dyDescent="0.25">
      <c r="A512" s="189" t="s">
        <v>1052</v>
      </c>
      <c r="B512" s="207" t="s">
        <v>1035</v>
      </c>
      <c r="C512" s="190" t="s">
        <v>1053</v>
      </c>
      <c r="D512" s="191">
        <v>0</v>
      </c>
      <c r="E512" s="192">
        <v>11200</v>
      </c>
      <c r="F512" s="193">
        <f t="shared" si="28"/>
        <v>9180</v>
      </c>
      <c r="G512" s="194">
        <f t="shared" si="29"/>
        <v>9520</v>
      </c>
      <c r="H512" s="195">
        <f t="shared" si="30"/>
        <v>10080</v>
      </c>
      <c r="I512" s="192">
        <f t="shared" si="31"/>
        <v>10640</v>
      </c>
      <c r="J512" s="196"/>
      <c r="K512" s="196"/>
      <c r="L512" s="198" t="str">
        <f>IFERROR(VLOOKUP(#REF!,'[3]0-LPM'!$A$6:$D$10668,4,0),"")</f>
        <v/>
      </c>
      <c r="M512" s="188"/>
      <c r="N512" s="198">
        <f>IFERROR(VLOOKUP(A512,'[3]0-LPM'!$A$6:$D$10668,4,0),"")</f>
        <v>5088</v>
      </c>
      <c r="O512" s="190"/>
    </row>
    <row r="513" spans="1:15" ht="12.2" customHeight="1" x14ac:dyDescent="0.25">
      <c r="A513" s="189" t="s">
        <v>1054</v>
      </c>
      <c r="B513" s="207" t="s">
        <v>1035</v>
      </c>
      <c r="C513" s="190" t="s">
        <v>1055</v>
      </c>
      <c r="D513" s="191">
        <v>0</v>
      </c>
      <c r="E513" s="192">
        <v>10200</v>
      </c>
      <c r="F513" s="193">
        <f t="shared" si="28"/>
        <v>8360</v>
      </c>
      <c r="G513" s="194">
        <f t="shared" si="29"/>
        <v>8670</v>
      </c>
      <c r="H513" s="195">
        <f t="shared" si="30"/>
        <v>9180</v>
      </c>
      <c r="I513" s="192">
        <f t="shared" si="31"/>
        <v>9690</v>
      </c>
      <c r="J513" s="196"/>
      <c r="K513" s="196"/>
      <c r="L513" s="198" t="str">
        <f>IFERROR(VLOOKUP(#REF!,'[3]0-LPM'!$A$6:$D$10668,4,0),"")</f>
        <v/>
      </c>
      <c r="M513" s="188"/>
      <c r="N513" s="198">
        <f>IFERROR(VLOOKUP(A513,'[3]0-LPM'!$A$6:$D$10668,4,0),"")</f>
        <v>4590</v>
      </c>
      <c r="O513" s="190"/>
    </row>
    <row r="514" spans="1:15" ht="12.2" customHeight="1" x14ac:dyDescent="0.25">
      <c r="A514" s="189" t="s">
        <v>1056</v>
      </c>
      <c r="B514" s="207" t="s">
        <v>1035</v>
      </c>
      <c r="C514" s="190" t="s">
        <v>1057</v>
      </c>
      <c r="D514" s="191">
        <v>0</v>
      </c>
      <c r="E514" s="192">
        <v>10200</v>
      </c>
      <c r="F514" s="193">
        <f t="shared" si="28"/>
        <v>8360</v>
      </c>
      <c r="G514" s="194">
        <f t="shared" si="29"/>
        <v>8670</v>
      </c>
      <c r="H514" s="195">
        <f t="shared" si="30"/>
        <v>9180</v>
      </c>
      <c r="I514" s="192">
        <f t="shared" si="31"/>
        <v>9690</v>
      </c>
      <c r="J514" s="196"/>
      <c r="K514" s="196"/>
      <c r="L514" s="198" t="str">
        <f>IFERROR(VLOOKUP(#REF!,'[3]0-LPM'!$A$6:$D$10668,4,0),"")</f>
        <v/>
      </c>
      <c r="M514" s="188"/>
      <c r="N514" s="198">
        <f>IFERROR(VLOOKUP(A514,'[3]0-LPM'!$A$6:$D$10668,4,0),"")</f>
        <v>4590</v>
      </c>
      <c r="O514" s="190"/>
    </row>
    <row r="515" spans="1:15" ht="12.2" customHeight="1" x14ac:dyDescent="0.25">
      <c r="A515" s="189" t="s">
        <v>1058</v>
      </c>
      <c r="B515" s="207" t="s">
        <v>1035</v>
      </c>
      <c r="C515" s="190" t="s">
        <v>1059</v>
      </c>
      <c r="D515" s="191">
        <v>0</v>
      </c>
      <c r="E515" s="192">
        <v>10700</v>
      </c>
      <c r="F515" s="193">
        <f t="shared" si="28"/>
        <v>8770</v>
      </c>
      <c r="G515" s="194">
        <f t="shared" si="29"/>
        <v>9100</v>
      </c>
      <c r="H515" s="195">
        <f t="shared" si="30"/>
        <v>9630</v>
      </c>
      <c r="I515" s="192">
        <f t="shared" si="31"/>
        <v>10170</v>
      </c>
      <c r="J515" s="196"/>
      <c r="K515" s="196"/>
      <c r="L515" s="198" t="str">
        <f>IFERROR(VLOOKUP(#REF!,'[3]0-LPM'!$A$6:$D$10668,4,0),"")</f>
        <v/>
      </c>
      <c r="M515" s="188"/>
      <c r="N515" s="198">
        <f>IFERROR(VLOOKUP(A515,'[3]0-LPM'!$A$6:$D$10668,4,0),"")</f>
        <v>5205</v>
      </c>
      <c r="O515" s="190"/>
    </row>
    <row r="516" spans="1:15" ht="12.2" customHeight="1" x14ac:dyDescent="0.25">
      <c r="A516" s="189" t="s">
        <v>1060</v>
      </c>
      <c r="B516" s="207" t="s">
        <v>1035</v>
      </c>
      <c r="C516" s="190" t="s">
        <v>1061</v>
      </c>
      <c r="D516" s="191">
        <v>0</v>
      </c>
      <c r="E516" s="192">
        <v>0</v>
      </c>
      <c r="F516" s="193">
        <f t="shared" si="28"/>
        <v>0</v>
      </c>
      <c r="G516" s="194">
        <f t="shared" si="29"/>
        <v>0</v>
      </c>
      <c r="H516" s="195">
        <f t="shared" si="30"/>
        <v>0</v>
      </c>
      <c r="I516" s="192">
        <f t="shared" si="31"/>
        <v>0</v>
      </c>
      <c r="J516" s="196"/>
      <c r="K516" s="196"/>
      <c r="L516" s="198" t="str">
        <f>IFERROR(VLOOKUP(#REF!,'[3]0-LPM'!$A$6:$D$10668,4,0),"")</f>
        <v/>
      </c>
      <c r="M516" s="188"/>
      <c r="N516" s="198">
        <f>IFERROR(VLOOKUP(A516,'[3]0-LPM'!$A$6:$D$10668,4,0),"")</f>
        <v>0</v>
      </c>
      <c r="O516" s="190"/>
    </row>
    <row r="517" spans="1:15" ht="12.2" customHeight="1" x14ac:dyDescent="0.25">
      <c r="A517" s="189" t="s">
        <v>1062</v>
      </c>
      <c r="B517" s="207" t="s">
        <v>1035</v>
      </c>
      <c r="C517" s="190" t="s">
        <v>1063</v>
      </c>
      <c r="D517" s="191">
        <v>0</v>
      </c>
      <c r="E517" s="192">
        <v>0</v>
      </c>
      <c r="F517" s="193">
        <f t="shared" si="28"/>
        <v>0</v>
      </c>
      <c r="G517" s="194">
        <f t="shared" si="29"/>
        <v>0</v>
      </c>
      <c r="H517" s="195">
        <f t="shared" si="30"/>
        <v>0</v>
      </c>
      <c r="I517" s="192">
        <f t="shared" si="31"/>
        <v>0</v>
      </c>
      <c r="J517" s="196"/>
      <c r="K517" s="196"/>
      <c r="L517" s="198" t="str">
        <f>IFERROR(VLOOKUP(#REF!,'[3]0-LPM'!$A$6:$D$10668,4,0),"")</f>
        <v/>
      </c>
      <c r="M517" s="188"/>
      <c r="N517" s="198">
        <f>IFERROR(VLOOKUP(A517,'[3]0-LPM'!$A$6:$D$10668,4,0),"")</f>
        <v>5205</v>
      </c>
      <c r="O517" s="190"/>
    </row>
    <row r="518" spans="1:15" ht="12.2" customHeight="1" x14ac:dyDescent="0.25">
      <c r="A518" s="189" t="s">
        <v>1064</v>
      </c>
      <c r="B518" s="207" t="s">
        <v>1035</v>
      </c>
      <c r="C518" s="190" t="s">
        <v>1065</v>
      </c>
      <c r="D518" s="191">
        <v>0</v>
      </c>
      <c r="E518" s="192">
        <v>0</v>
      </c>
      <c r="F518" s="193">
        <f t="shared" si="28"/>
        <v>0</v>
      </c>
      <c r="G518" s="194">
        <f t="shared" si="29"/>
        <v>0</v>
      </c>
      <c r="H518" s="195">
        <f t="shared" si="30"/>
        <v>0</v>
      </c>
      <c r="I518" s="192">
        <f t="shared" si="31"/>
        <v>0</v>
      </c>
      <c r="J518" s="196"/>
      <c r="K518" s="196"/>
      <c r="L518" s="198" t="str">
        <f>IFERROR(VLOOKUP(#REF!,'[3]0-LPM'!$A$6:$D$10668,4,0),"")</f>
        <v/>
      </c>
      <c r="M518" s="188"/>
      <c r="N518" s="198">
        <f>IFERROR(VLOOKUP(A518,'[3]0-LPM'!$A$6:$D$10668,4,0),"")</f>
        <v>8089</v>
      </c>
      <c r="O518" s="190"/>
    </row>
    <row r="519" spans="1:15" ht="12.2" customHeight="1" x14ac:dyDescent="0.25">
      <c r="A519" s="189" t="s">
        <v>1066</v>
      </c>
      <c r="B519" s="207" t="s">
        <v>1035</v>
      </c>
      <c r="C519" s="190" t="s">
        <v>1067</v>
      </c>
      <c r="D519" s="191">
        <v>0</v>
      </c>
      <c r="E519" s="192">
        <v>10700</v>
      </c>
      <c r="F519" s="193">
        <f t="shared" si="28"/>
        <v>8770</v>
      </c>
      <c r="G519" s="194">
        <f t="shared" si="29"/>
        <v>9100</v>
      </c>
      <c r="H519" s="195">
        <f t="shared" si="30"/>
        <v>9630</v>
      </c>
      <c r="I519" s="192">
        <f t="shared" si="31"/>
        <v>10170</v>
      </c>
      <c r="J519" s="196"/>
      <c r="K519" s="196"/>
      <c r="L519" s="198" t="str">
        <f>IFERROR(VLOOKUP(#REF!,'[3]0-LPM'!$A$6:$D$10668,4,0),"")</f>
        <v/>
      </c>
      <c r="M519" s="188"/>
      <c r="N519" s="198" t="str">
        <f>IFERROR(VLOOKUP(A519,'[3]0-LPM'!$A$6:$D$10668,4,0),"")</f>
        <v/>
      </c>
      <c r="O519" s="190"/>
    </row>
    <row r="520" spans="1:15" ht="12.2" customHeight="1" x14ac:dyDescent="0.25">
      <c r="A520" s="189" t="s">
        <v>1068</v>
      </c>
      <c r="B520" s="207" t="s">
        <v>1035</v>
      </c>
      <c r="C520" s="190" t="s">
        <v>1069</v>
      </c>
      <c r="D520" s="191">
        <v>0</v>
      </c>
      <c r="E520" s="192">
        <v>0</v>
      </c>
      <c r="F520" s="193">
        <f t="shared" si="28"/>
        <v>0</v>
      </c>
      <c r="G520" s="194">
        <f t="shared" si="29"/>
        <v>0</v>
      </c>
      <c r="H520" s="195">
        <f t="shared" si="30"/>
        <v>0</v>
      </c>
      <c r="I520" s="192">
        <f t="shared" si="31"/>
        <v>0</v>
      </c>
      <c r="J520" s="196"/>
      <c r="K520" s="196"/>
      <c r="L520" s="198" t="str">
        <f>IFERROR(VLOOKUP(#REF!,'[3]0-LPM'!$A$6:$D$10668,4,0),"")</f>
        <v/>
      </c>
      <c r="M520" s="188"/>
      <c r="N520" s="198" t="str">
        <f>IFERROR(VLOOKUP(A520,'[3]0-LPM'!$A$6:$D$10668,4,0),"")</f>
        <v/>
      </c>
      <c r="O520" s="190"/>
    </row>
    <row r="521" spans="1:15" ht="12.2" customHeight="1" x14ac:dyDescent="0.25">
      <c r="A521" s="189" t="s">
        <v>1070</v>
      </c>
      <c r="B521" s="207" t="s">
        <v>1035</v>
      </c>
      <c r="C521" s="190" t="s">
        <v>1071</v>
      </c>
      <c r="D521" s="191">
        <v>0</v>
      </c>
      <c r="E521" s="192">
        <v>0</v>
      </c>
      <c r="F521" s="193">
        <f t="shared" si="28"/>
        <v>0</v>
      </c>
      <c r="G521" s="194">
        <f t="shared" si="29"/>
        <v>0</v>
      </c>
      <c r="H521" s="195">
        <f t="shared" si="30"/>
        <v>0</v>
      </c>
      <c r="I521" s="192">
        <f t="shared" si="31"/>
        <v>0</v>
      </c>
      <c r="J521" s="196"/>
      <c r="K521" s="196"/>
      <c r="L521" s="198" t="str">
        <f>IFERROR(VLOOKUP(#REF!,'[3]0-LPM'!$A$6:$D$10668,4,0),"")</f>
        <v/>
      </c>
      <c r="M521" s="188"/>
      <c r="N521" s="198" t="str">
        <f>IFERROR(VLOOKUP(A521,'[3]0-LPM'!$A$6:$D$10668,4,0),"")</f>
        <v/>
      </c>
      <c r="O521" s="190"/>
    </row>
    <row r="522" spans="1:15" ht="12.2" customHeight="1" x14ac:dyDescent="0.25">
      <c r="A522" s="189" t="s">
        <v>1072</v>
      </c>
      <c r="B522" s="207" t="s">
        <v>1035</v>
      </c>
      <c r="C522" s="190" t="s">
        <v>1073</v>
      </c>
      <c r="D522" s="191">
        <v>0</v>
      </c>
      <c r="E522" s="192">
        <v>10700</v>
      </c>
      <c r="F522" s="193">
        <f t="shared" si="28"/>
        <v>8770</v>
      </c>
      <c r="G522" s="194">
        <f t="shared" si="29"/>
        <v>9100</v>
      </c>
      <c r="H522" s="195">
        <f t="shared" si="30"/>
        <v>9630</v>
      </c>
      <c r="I522" s="192">
        <f t="shared" si="31"/>
        <v>10170</v>
      </c>
      <c r="J522" s="196"/>
      <c r="K522" s="196"/>
      <c r="L522" s="198" t="str">
        <f>IFERROR(VLOOKUP(#REF!,'[3]0-LPM'!$A$6:$D$10668,4,0),"")</f>
        <v/>
      </c>
      <c r="M522" s="188"/>
      <c r="N522" s="198" t="str">
        <f>IFERROR(VLOOKUP(A522,'[3]0-LPM'!$A$6:$D$10668,4,0),"")</f>
        <v/>
      </c>
      <c r="O522" s="190"/>
    </row>
    <row r="523" spans="1:15" ht="12.2" customHeight="1" x14ac:dyDescent="0.25">
      <c r="A523" s="204"/>
      <c r="B523" s="205"/>
      <c r="C523" s="206" t="str">
        <f>+B524</f>
        <v>INSUMOS</v>
      </c>
      <c r="D523" s="191">
        <v>0</v>
      </c>
      <c r="E523" s="192">
        <v>0</v>
      </c>
      <c r="F523" s="193">
        <f t="shared" si="28"/>
        <v>0</v>
      </c>
      <c r="G523" s="194">
        <f t="shared" si="29"/>
        <v>0</v>
      </c>
      <c r="H523" s="195">
        <f t="shared" si="30"/>
        <v>0</v>
      </c>
      <c r="I523" s="192">
        <f t="shared" si="31"/>
        <v>0</v>
      </c>
      <c r="J523" s="196"/>
      <c r="K523" s="196"/>
      <c r="L523" s="198" t="str">
        <f>IFERROR(VLOOKUP(#REF!,'[3]0-LPM'!$A$6:$D$10668,4,0),"")</f>
        <v/>
      </c>
      <c r="M523" s="188"/>
      <c r="N523" s="198" t="str">
        <f>IFERROR(VLOOKUP(A523,'[3]0-LPM'!$A$6:$D$10668,4,0),"")</f>
        <v/>
      </c>
      <c r="O523" s="206"/>
    </row>
    <row r="524" spans="1:15" ht="12.2" customHeight="1" x14ac:dyDescent="0.25">
      <c r="A524" s="189" t="s">
        <v>1074</v>
      </c>
      <c r="B524" s="190" t="s">
        <v>1075</v>
      </c>
      <c r="C524" s="190" t="s">
        <v>1076</v>
      </c>
      <c r="D524" s="191">
        <v>0</v>
      </c>
      <c r="E524" s="192">
        <v>0</v>
      </c>
      <c r="F524" s="193">
        <f t="shared" si="28"/>
        <v>0</v>
      </c>
      <c r="G524" s="194">
        <f t="shared" si="29"/>
        <v>0</v>
      </c>
      <c r="H524" s="195">
        <f t="shared" si="30"/>
        <v>0</v>
      </c>
      <c r="I524" s="192">
        <f t="shared" si="31"/>
        <v>0</v>
      </c>
      <c r="J524" s="196"/>
      <c r="K524" s="196"/>
      <c r="L524" s="198" t="str">
        <f>IFERROR(VLOOKUP(#REF!,'[3]0-LPM'!$A$6:$D$10668,4,0),"")</f>
        <v/>
      </c>
      <c r="M524" s="188"/>
      <c r="N524" s="198">
        <f>IFERROR(VLOOKUP(A524,'[3]0-LPM'!$A$6:$D$10668,4,0),"")</f>
        <v>0</v>
      </c>
      <c r="O524" s="190"/>
    </row>
    <row r="525" spans="1:15" ht="12.2" customHeight="1" x14ac:dyDescent="0.25">
      <c r="A525" s="189" t="s">
        <v>1077</v>
      </c>
      <c r="B525" s="190" t="s">
        <v>1075</v>
      </c>
      <c r="C525" s="190" t="s">
        <v>1078</v>
      </c>
      <c r="D525" s="191">
        <v>0</v>
      </c>
      <c r="E525" s="192">
        <v>7600</v>
      </c>
      <c r="F525" s="193">
        <f t="shared" si="28"/>
        <v>6230</v>
      </c>
      <c r="G525" s="194">
        <f t="shared" si="29"/>
        <v>6460</v>
      </c>
      <c r="H525" s="195">
        <f t="shared" si="30"/>
        <v>6840</v>
      </c>
      <c r="I525" s="192">
        <f t="shared" si="31"/>
        <v>7220</v>
      </c>
      <c r="J525" s="196"/>
      <c r="K525" s="196"/>
      <c r="L525" s="198" t="str">
        <f>IFERROR(VLOOKUP(#REF!,'[3]0-LPM'!$A$6:$D$10668,4,0),"")</f>
        <v/>
      </c>
      <c r="M525" s="188"/>
      <c r="N525" s="198">
        <f>IFERROR(VLOOKUP(A525,'[3]0-LPM'!$A$6:$D$10668,4,0),"")</f>
        <v>0</v>
      </c>
      <c r="O525" s="190"/>
    </row>
    <row r="526" spans="1:15" ht="12.2" customHeight="1" x14ac:dyDescent="0.25">
      <c r="A526" s="204"/>
      <c r="B526" s="205"/>
      <c r="C526" s="206" t="s">
        <v>1079</v>
      </c>
      <c r="D526" s="191">
        <v>0</v>
      </c>
      <c r="E526" s="192">
        <v>0</v>
      </c>
      <c r="F526" s="193">
        <f t="shared" si="28"/>
        <v>0</v>
      </c>
      <c r="G526" s="194">
        <f t="shared" si="29"/>
        <v>0</v>
      </c>
      <c r="H526" s="195">
        <f t="shared" si="30"/>
        <v>0</v>
      </c>
      <c r="I526" s="192">
        <f t="shared" si="31"/>
        <v>0</v>
      </c>
      <c r="J526" s="196"/>
      <c r="K526" s="196"/>
      <c r="L526" s="198" t="str">
        <f>IFERROR(VLOOKUP(#REF!,'[3]0-LPM'!$A$6:$D$10668,4,0),"")</f>
        <v/>
      </c>
      <c r="M526" s="188"/>
      <c r="N526" s="198" t="str">
        <f>IFERROR(VLOOKUP(A526,'[3]0-LPM'!$A$6:$D$10668,4,0),"")</f>
        <v/>
      </c>
      <c r="O526" s="206"/>
    </row>
    <row r="527" spans="1:15" ht="12.2" customHeight="1" x14ac:dyDescent="0.25">
      <c r="A527" s="218" t="s">
        <v>1080</v>
      </c>
      <c r="B527" s="219" t="s">
        <v>1079</v>
      </c>
      <c r="C527" s="219" t="s">
        <v>1081</v>
      </c>
      <c r="D527" s="191">
        <v>0</v>
      </c>
      <c r="E527" s="192">
        <v>0</v>
      </c>
      <c r="F527" s="193">
        <f t="shared" si="28"/>
        <v>0</v>
      </c>
      <c r="G527" s="194">
        <f t="shared" si="29"/>
        <v>0</v>
      </c>
      <c r="H527" s="195">
        <f t="shared" si="30"/>
        <v>0</v>
      </c>
      <c r="I527" s="192">
        <f t="shared" si="31"/>
        <v>0</v>
      </c>
      <c r="J527" s="196"/>
      <c r="K527" s="196"/>
      <c r="L527" s="198" t="str">
        <f>IFERROR(VLOOKUP(#REF!,'[3]0-LPM'!$A$6:$D$10668,4,0),"")</f>
        <v/>
      </c>
      <c r="M527" s="188"/>
      <c r="N527" s="198">
        <f>IFERROR(VLOOKUP(A527,'[3]0-LPM'!$A$6:$D$10668,4,0),"")</f>
        <v>0</v>
      </c>
      <c r="O527" s="219"/>
    </row>
    <row r="528" spans="1:15" ht="12.2" customHeight="1" x14ac:dyDescent="0.25">
      <c r="A528" s="218" t="s">
        <v>1082</v>
      </c>
      <c r="B528" s="219" t="s">
        <v>1079</v>
      </c>
      <c r="C528" s="219" t="s">
        <v>1083</v>
      </c>
      <c r="D528" s="191">
        <v>0</v>
      </c>
      <c r="E528" s="192">
        <v>0</v>
      </c>
      <c r="F528" s="193">
        <f t="shared" si="28"/>
        <v>0</v>
      </c>
      <c r="G528" s="194">
        <f t="shared" si="29"/>
        <v>0</v>
      </c>
      <c r="H528" s="195">
        <f t="shared" si="30"/>
        <v>0</v>
      </c>
      <c r="I528" s="192">
        <f t="shared" si="31"/>
        <v>0</v>
      </c>
      <c r="J528" s="196"/>
      <c r="K528" s="196"/>
      <c r="L528" s="198" t="str">
        <f>IFERROR(VLOOKUP(#REF!,'[3]0-LPM'!$A$6:$D$10668,4,0),"")</f>
        <v/>
      </c>
      <c r="M528" s="188"/>
      <c r="N528" s="198">
        <f>IFERROR(VLOOKUP(A528,'[3]0-LPM'!$A$6:$D$10668,4,0),"")</f>
        <v>0</v>
      </c>
      <c r="O528" s="219"/>
    </row>
    <row r="529" spans="1:15" ht="12.2" customHeight="1" x14ac:dyDescent="0.25">
      <c r="A529" s="218" t="s">
        <v>1084</v>
      </c>
      <c r="B529" s="219" t="s">
        <v>1079</v>
      </c>
      <c r="C529" s="219" t="s">
        <v>1085</v>
      </c>
      <c r="D529" s="191">
        <v>12200</v>
      </c>
      <c r="E529" s="192">
        <v>0</v>
      </c>
      <c r="F529" s="193">
        <f t="shared" si="28"/>
        <v>0</v>
      </c>
      <c r="G529" s="194">
        <f t="shared" si="29"/>
        <v>0</v>
      </c>
      <c r="H529" s="195">
        <f t="shared" si="30"/>
        <v>0</v>
      </c>
      <c r="I529" s="192">
        <f t="shared" si="31"/>
        <v>0</v>
      </c>
      <c r="J529" s="196"/>
      <c r="K529" s="196"/>
      <c r="L529" s="198" t="str">
        <f>IFERROR(VLOOKUP(#REF!,'[3]0-LPM'!$A$6:$D$10668,4,0),"")</f>
        <v/>
      </c>
      <c r="M529" s="188"/>
      <c r="N529" s="198">
        <f>IFERROR(VLOOKUP(A529,'[3]0-LPM'!$A$6:$D$10668,4,0),"")</f>
        <v>0</v>
      </c>
      <c r="O529" s="219"/>
    </row>
    <row r="530" spans="1:15" ht="12.2" customHeight="1" x14ac:dyDescent="0.25">
      <c r="A530" s="218" t="s">
        <v>1086</v>
      </c>
      <c r="B530" s="219" t="s">
        <v>1079</v>
      </c>
      <c r="C530" s="219" t="s">
        <v>1087</v>
      </c>
      <c r="D530" s="191">
        <v>0</v>
      </c>
      <c r="E530" s="192">
        <v>0</v>
      </c>
      <c r="F530" s="193">
        <f t="shared" si="28"/>
        <v>0</v>
      </c>
      <c r="G530" s="194">
        <f t="shared" si="29"/>
        <v>0</v>
      </c>
      <c r="H530" s="195">
        <f t="shared" si="30"/>
        <v>0</v>
      </c>
      <c r="I530" s="192">
        <f t="shared" si="31"/>
        <v>0</v>
      </c>
      <c r="J530" s="196"/>
      <c r="K530" s="196"/>
      <c r="L530" s="198" t="str">
        <f>IFERROR(VLOOKUP(#REF!,'[3]0-LPM'!$A$6:$D$10668,4,0),"")</f>
        <v/>
      </c>
      <c r="M530" s="188"/>
      <c r="N530" s="198">
        <f>IFERROR(VLOOKUP(A530,'[3]0-LPM'!$A$6:$D$10668,4,0),"")</f>
        <v>0</v>
      </c>
      <c r="O530" s="219"/>
    </row>
    <row r="531" spans="1:15" ht="12.2" customHeight="1" x14ac:dyDescent="0.25">
      <c r="A531" s="218" t="s">
        <v>1088</v>
      </c>
      <c r="B531" s="219" t="s">
        <v>1079</v>
      </c>
      <c r="C531" s="219" t="s">
        <v>1089</v>
      </c>
      <c r="D531" s="191">
        <v>11700</v>
      </c>
      <c r="E531" s="192">
        <v>0</v>
      </c>
      <c r="F531" s="193">
        <f t="shared" si="28"/>
        <v>0</v>
      </c>
      <c r="G531" s="194">
        <f t="shared" si="29"/>
        <v>0</v>
      </c>
      <c r="H531" s="195">
        <f t="shared" si="30"/>
        <v>0</v>
      </c>
      <c r="I531" s="192">
        <f t="shared" si="31"/>
        <v>0</v>
      </c>
      <c r="J531" s="196"/>
      <c r="K531" s="196"/>
      <c r="L531" s="198" t="str">
        <f>IFERROR(VLOOKUP(#REF!,'[3]0-LPM'!$A$6:$D$10668,4,0),"")</f>
        <v/>
      </c>
      <c r="M531" s="188"/>
      <c r="N531" s="198">
        <f>IFERROR(VLOOKUP(A531,'[3]0-LPM'!$A$6:$D$10668,4,0),"")</f>
        <v>0</v>
      </c>
      <c r="O531" s="219"/>
    </row>
    <row r="532" spans="1:15" ht="12.2" customHeight="1" x14ac:dyDescent="0.25">
      <c r="A532" s="218" t="s">
        <v>1090</v>
      </c>
      <c r="B532" s="219" t="s">
        <v>1079</v>
      </c>
      <c r="C532" s="219" t="s">
        <v>1091</v>
      </c>
      <c r="D532" s="191">
        <v>0</v>
      </c>
      <c r="E532" s="192">
        <v>7200</v>
      </c>
      <c r="F532" s="193">
        <f t="shared" si="28"/>
        <v>5900</v>
      </c>
      <c r="G532" s="194">
        <f t="shared" si="29"/>
        <v>6120</v>
      </c>
      <c r="H532" s="195">
        <f t="shared" si="30"/>
        <v>6480</v>
      </c>
      <c r="I532" s="192">
        <f t="shared" si="31"/>
        <v>6840</v>
      </c>
      <c r="J532" s="196"/>
      <c r="K532" s="196"/>
      <c r="L532" s="198" t="str">
        <f>IFERROR(VLOOKUP(#REF!,'[3]0-LPM'!$A$6:$D$10668,4,0),"")</f>
        <v/>
      </c>
      <c r="M532" s="188"/>
      <c r="N532" s="198">
        <f>IFERROR(VLOOKUP(A532,'[3]0-LPM'!$A$6:$D$10668,4,0),"")</f>
        <v>0</v>
      </c>
      <c r="O532" s="219"/>
    </row>
    <row r="533" spans="1:15" ht="12.2" customHeight="1" x14ac:dyDescent="0.25">
      <c r="A533" s="218" t="s">
        <v>1092</v>
      </c>
      <c r="B533" s="219" t="s">
        <v>1079</v>
      </c>
      <c r="C533" s="219" t="s">
        <v>1093</v>
      </c>
      <c r="D533" s="191">
        <v>0</v>
      </c>
      <c r="E533" s="192">
        <v>0</v>
      </c>
      <c r="F533" s="193">
        <f t="shared" si="28"/>
        <v>0</v>
      </c>
      <c r="G533" s="194">
        <f t="shared" si="29"/>
        <v>0</v>
      </c>
      <c r="H533" s="195">
        <f t="shared" si="30"/>
        <v>0</v>
      </c>
      <c r="I533" s="192">
        <f t="shared" si="31"/>
        <v>0</v>
      </c>
      <c r="J533" s="196"/>
      <c r="K533" s="196"/>
      <c r="L533" s="198" t="str">
        <f>IFERROR(VLOOKUP(#REF!,'[3]0-LPM'!$A$6:$D$10668,4,0),"")</f>
        <v/>
      </c>
      <c r="M533" s="188"/>
      <c r="N533" s="198">
        <f>IFERROR(VLOOKUP(A533,'[3]0-LPM'!$A$6:$D$10668,4,0),"")</f>
        <v>0</v>
      </c>
      <c r="O533" s="219"/>
    </row>
    <row r="534" spans="1:15" ht="12.2" customHeight="1" x14ac:dyDescent="0.25">
      <c r="A534" s="218" t="s">
        <v>1094</v>
      </c>
      <c r="B534" s="219" t="s">
        <v>1079</v>
      </c>
      <c r="C534" s="219" t="s">
        <v>1095</v>
      </c>
      <c r="D534" s="191">
        <v>12900</v>
      </c>
      <c r="E534" s="192">
        <v>0</v>
      </c>
      <c r="F534" s="193">
        <f t="shared" si="28"/>
        <v>0</v>
      </c>
      <c r="G534" s="194">
        <f t="shared" si="29"/>
        <v>0</v>
      </c>
      <c r="H534" s="195">
        <f t="shared" si="30"/>
        <v>0</v>
      </c>
      <c r="I534" s="192">
        <f t="shared" si="31"/>
        <v>0</v>
      </c>
      <c r="J534" s="196"/>
      <c r="K534" s="196"/>
      <c r="L534" s="198" t="str">
        <f>IFERROR(VLOOKUP(#REF!,'[3]0-LPM'!$A$6:$D$10668,4,0),"")</f>
        <v/>
      </c>
      <c r="M534" s="188"/>
      <c r="N534" s="198">
        <f>IFERROR(VLOOKUP(A534,'[3]0-LPM'!$A$6:$D$10668,4,0),"")</f>
        <v>0</v>
      </c>
      <c r="O534" s="219"/>
    </row>
    <row r="535" spans="1:15" ht="12.2" customHeight="1" x14ac:dyDescent="0.25">
      <c r="A535" s="218" t="s">
        <v>1096</v>
      </c>
      <c r="B535" s="219" t="s">
        <v>1079</v>
      </c>
      <c r="C535" s="219" t="s">
        <v>1097</v>
      </c>
      <c r="D535" s="191">
        <v>0</v>
      </c>
      <c r="E535" s="192">
        <v>0</v>
      </c>
      <c r="F535" s="193">
        <f t="shared" si="28"/>
        <v>0</v>
      </c>
      <c r="G535" s="194">
        <f t="shared" si="29"/>
        <v>0</v>
      </c>
      <c r="H535" s="195">
        <f t="shared" si="30"/>
        <v>0</v>
      </c>
      <c r="I535" s="192">
        <f t="shared" si="31"/>
        <v>0</v>
      </c>
      <c r="J535" s="196"/>
      <c r="K535" s="196"/>
      <c r="L535" s="198" t="str">
        <f>IFERROR(VLOOKUP(#REF!,'[3]0-LPM'!$A$6:$D$10668,4,0),"")</f>
        <v/>
      </c>
      <c r="M535" s="188"/>
      <c r="N535" s="198">
        <f>IFERROR(VLOOKUP(A535,'[3]0-LPM'!$A$6:$D$10668,4,0),"")</f>
        <v>0</v>
      </c>
      <c r="O535" s="219"/>
    </row>
    <row r="536" spans="1:15" ht="12.2" customHeight="1" x14ac:dyDescent="0.25">
      <c r="A536" s="218" t="s">
        <v>1098</v>
      </c>
      <c r="B536" s="219" t="s">
        <v>1079</v>
      </c>
      <c r="C536" s="219" t="s">
        <v>1099</v>
      </c>
      <c r="D536" s="191">
        <v>0</v>
      </c>
      <c r="E536" s="192">
        <v>0</v>
      </c>
      <c r="F536" s="193">
        <f t="shared" si="28"/>
        <v>0</v>
      </c>
      <c r="G536" s="194">
        <f t="shared" si="29"/>
        <v>0</v>
      </c>
      <c r="H536" s="195">
        <f t="shared" si="30"/>
        <v>0</v>
      </c>
      <c r="I536" s="192">
        <f t="shared" si="31"/>
        <v>0</v>
      </c>
      <c r="J536" s="196"/>
      <c r="K536" s="196"/>
      <c r="L536" s="198" t="str">
        <f>IFERROR(VLOOKUP(#REF!,'[3]0-LPM'!$A$6:$D$10668,4,0),"")</f>
        <v/>
      </c>
      <c r="M536" s="188"/>
      <c r="N536" s="198">
        <f>IFERROR(VLOOKUP(A536,'[3]0-LPM'!$A$6:$D$10668,4,0),"")</f>
        <v>0</v>
      </c>
      <c r="O536" s="219"/>
    </row>
    <row r="537" spans="1:15" ht="12.2" customHeight="1" x14ac:dyDescent="0.25">
      <c r="A537" s="218" t="s">
        <v>1100</v>
      </c>
      <c r="B537" s="219" t="s">
        <v>1079</v>
      </c>
      <c r="C537" s="219" t="s">
        <v>1101</v>
      </c>
      <c r="D537" s="191">
        <v>0</v>
      </c>
      <c r="E537" s="192">
        <v>0</v>
      </c>
      <c r="F537" s="193">
        <f t="shared" si="28"/>
        <v>0</v>
      </c>
      <c r="G537" s="194">
        <f t="shared" si="29"/>
        <v>0</v>
      </c>
      <c r="H537" s="195">
        <f t="shared" si="30"/>
        <v>0</v>
      </c>
      <c r="I537" s="192">
        <f t="shared" si="31"/>
        <v>0</v>
      </c>
      <c r="J537" s="196"/>
      <c r="K537" s="196"/>
      <c r="L537" s="198" t="str">
        <f>IFERROR(VLOOKUP(#REF!,'[3]0-LPM'!$A$6:$D$10668,4,0),"")</f>
        <v/>
      </c>
      <c r="M537" s="188"/>
      <c r="N537" s="198">
        <f>IFERROR(VLOOKUP(A537,'[3]0-LPM'!$A$6:$D$10668,4,0),"")</f>
        <v>0</v>
      </c>
      <c r="O537" s="219"/>
    </row>
    <row r="538" spans="1:15" ht="12.2" customHeight="1" x14ac:dyDescent="0.25">
      <c r="A538" s="218" t="s">
        <v>1102</v>
      </c>
      <c r="B538" s="219" t="s">
        <v>1079</v>
      </c>
      <c r="C538" s="219" t="s">
        <v>1103</v>
      </c>
      <c r="D538" s="191">
        <v>40600</v>
      </c>
      <c r="E538" s="192">
        <v>0</v>
      </c>
      <c r="F538" s="193">
        <f t="shared" si="28"/>
        <v>0</v>
      </c>
      <c r="G538" s="194">
        <f t="shared" si="29"/>
        <v>0</v>
      </c>
      <c r="H538" s="195">
        <f t="shared" si="30"/>
        <v>0</v>
      </c>
      <c r="I538" s="192">
        <f t="shared" si="31"/>
        <v>0</v>
      </c>
      <c r="J538" s="196"/>
      <c r="K538" s="196"/>
      <c r="L538" s="198" t="str">
        <f>IFERROR(VLOOKUP(#REF!,'[3]0-LPM'!$A$6:$D$10668,4,0),"")</f>
        <v/>
      </c>
      <c r="M538" s="188"/>
      <c r="N538" s="198">
        <f>IFERROR(VLOOKUP(A538,'[3]0-LPM'!$A$6:$D$10668,4,0),"")</f>
        <v>0</v>
      </c>
      <c r="O538" s="219"/>
    </row>
    <row r="539" spans="1:15" ht="12.2" customHeight="1" x14ac:dyDescent="0.25">
      <c r="A539" s="218" t="s">
        <v>1104</v>
      </c>
      <c r="B539" s="219" t="s">
        <v>1079</v>
      </c>
      <c r="C539" s="219" t="s">
        <v>1105</v>
      </c>
      <c r="D539" s="191">
        <v>0</v>
      </c>
      <c r="E539" s="192">
        <v>0</v>
      </c>
      <c r="F539" s="193">
        <f t="shared" si="28"/>
        <v>0</v>
      </c>
      <c r="G539" s="194">
        <f t="shared" si="29"/>
        <v>0</v>
      </c>
      <c r="H539" s="195">
        <f t="shared" si="30"/>
        <v>0</v>
      </c>
      <c r="I539" s="192">
        <f t="shared" si="31"/>
        <v>0</v>
      </c>
      <c r="J539" s="196"/>
      <c r="K539" s="196"/>
      <c r="L539" s="198" t="str">
        <f>IFERROR(VLOOKUP(#REF!,'[3]0-LPM'!$A$6:$D$10668,4,0),"")</f>
        <v/>
      </c>
      <c r="M539" s="188"/>
      <c r="N539" s="198">
        <f>IFERROR(VLOOKUP(A539,'[3]0-LPM'!$A$6:$D$10668,4,0),"")</f>
        <v>0</v>
      </c>
      <c r="O539" s="219"/>
    </row>
    <row r="540" spans="1:15" ht="12.2" customHeight="1" x14ac:dyDescent="0.25">
      <c r="A540" s="218" t="s">
        <v>1106</v>
      </c>
      <c r="B540" s="219" t="s">
        <v>1079</v>
      </c>
      <c r="C540" s="219" t="s">
        <v>1107</v>
      </c>
      <c r="D540" s="191">
        <v>5000</v>
      </c>
      <c r="E540" s="192">
        <v>0</v>
      </c>
      <c r="F540" s="193">
        <f t="shared" si="28"/>
        <v>0</v>
      </c>
      <c r="G540" s="194">
        <f t="shared" si="29"/>
        <v>0</v>
      </c>
      <c r="H540" s="195">
        <f t="shared" si="30"/>
        <v>0</v>
      </c>
      <c r="I540" s="192">
        <f t="shared" si="31"/>
        <v>0</v>
      </c>
      <c r="J540" s="196"/>
      <c r="K540" s="196"/>
      <c r="L540" s="198" t="str">
        <f>IFERROR(VLOOKUP(#REF!,'[3]0-LPM'!$A$6:$D$10668,4,0),"")</f>
        <v/>
      </c>
      <c r="M540" s="188"/>
      <c r="N540" s="198">
        <f>IFERROR(VLOOKUP(A540,'[3]0-LPM'!$A$6:$D$10668,4,0),"")</f>
        <v>0</v>
      </c>
      <c r="O540" s="219"/>
    </row>
    <row r="541" spans="1:15" ht="12.2" customHeight="1" x14ac:dyDescent="0.25">
      <c r="A541" s="218" t="s">
        <v>1108</v>
      </c>
      <c r="B541" s="219" t="s">
        <v>1079</v>
      </c>
      <c r="C541" s="219" t="s">
        <v>1109</v>
      </c>
      <c r="D541" s="191">
        <v>0</v>
      </c>
      <c r="E541" s="192">
        <v>0</v>
      </c>
      <c r="F541" s="193">
        <f t="shared" ref="F541:F604" si="32">+ROUND(E541-H541*F$1,-1)</f>
        <v>0</v>
      </c>
      <c r="G541" s="194">
        <f t="shared" ref="G541:G604" si="33">+ROUND(E541-E541*G$1,-1)</f>
        <v>0</v>
      </c>
      <c r="H541" s="195">
        <f t="shared" ref="H541:H604" si="34">+ROUND(E541-E541*H$1,-1)</f>
        <v>0</v>
      </c>
      <c r="I541" s="192">
        <f t="shared" ref="I541:I604" si="35">+ROUND(E541-E541*I$1,-1)</f>
        <v>0</v>
      </c>
      <c r="J541" s="196"/>
      <c r="K541" s="196"/>
      <c r="L541" s="198" t="str">
        <f>IFERROR(VLOOKUP(#REF!,'[3]0-LPM'!$A$6:$D$10668,4,0),"")</f>
        <v/>
      </c>
      <c r="M541" s="188"/>
      <c r="N541" s="198">
        <f>IFERROR(VLOOKUP(A541,'[3]0-LPM'!$A$6:$D$10668,4,0),"")</f>
        <v>0</v>
      </c>
      <c r="O541" s="219"/>
    </row>
    <row r="542" spans="1:15" ht="12.2" customHeight="1" x14ac:dyDescent="0.25">
      <c r="A542" s="218" t="s">
        <v>1110</v>
      </c>
      <c r="B542" s="219" t="s">
        <v>1079</v>
      </c>
      <c r="C542" s="219" t="s">
        <v>1111</v>
      </c>
      <c r="D542" s="191">
        <v>0</v>
      </c>
      <c r="E542" s="192">
        <v>0</v>
      </c>
      <c r="F542" s="193">
        <f t="shared" si="32"/>
        <v>0</v>
      </c>
      <c r="G542" s="194">
        <f t="shared" si="33"/>
        <v>0</v>
      </c>
      <c r="H542" s="195">
        <f t="shared" si="34"/>
        <v>0</v>
      </c>
      <c r="I542" s="192">
        <f t="shared" si="35"/>
        <v>0</v>
      </c>
      <c r="J542" s="196"/>
      <c r="K542" s="196"/>
      <c r="L542" s="198" t="str">
        <f>IFERROR(VLOOKUP(#REF!,'[3]0-LPM'!$A$6:$D$10668,4,0),"")</f>
        <v/>
      </c>
      <c r="M542" s="188"/>
      <c r="N542" s="198">
        <f>IFERROR(VLOOKUP(A542,'[3]0-LPM'!$A$6:$D$10668,4,0),"")</f>
        <v>0</v>
      </c>
      <c r="O542" s="219"/>
    </row>
    <row r="543" spans="1:15" ht="12.2" customHeight="1" x14ac:dyDescent="0.25">
      <c r="A543" s="218"/>
      <c r="B543" s="219"/>
      <c r="C543" s="219"/>
      <c r="D543" s="191">
        <v>0</v>
      </c>
      <c r="E543" s="192">
        <v>0</v>
      </c>
      <c r="F543" s="193">
        <f t="shared" si="32"/>
        <v>0</v>
      </c>
      <c r="G543" s="194">
        <f t="shared" si="33"/>
        <v>0</v>
      </c>
      <c r="H543" s="195">
        <f t="shared" si="34"/>
        <v>0</v>
      </c>
      <c r="I543" s="192">
        <f t="shared" si="35"/>
        <v>0</v>
      </c>
      <c r="J543" s="196"/>
      <c r="K543" s="196"/>
      <c r="L543" s="198" t="str">
        <f>IFERROR(VLOOKUP(#REF!,'[3]0-LPM'!$A$6:$D$10668,4,0),"")</f>
        <v/>
      </c>
      <c r="M543" s="188"/>
      <c r="N543" s="198" t="str">
        <f>IFERROR(VLOOKUP(A543,'[3]0-LPM'!$A$6:$D$10668,4,0),"")</f>
        <v/>
      </c>
      <c r="O543" s="219"/>
    </row>
    <row r="544" spans="1:15" ht="12.2" customHeight="1" x14ac:dyDescent="0.25">
      <c r="A544" s="204"/>
      <c r="B544" s="205"/>
      <c r="C544" s="206" t="s">
        <v>1112</v>
      </c>
      <c r="D544" s="191">
        <v>0</v>
      </c>
      <c r="E544" s="192">
        <v>0</v>
      </c>
      <c r="F544" s="193">
        <f t="shared" si="32"/>
        <v>0</v>
      </c>
      <c r="G544" s="194">
        <f t="shared" si="33"/>
        <v>0</v>
      </c>
      <c r="H544" s="195">
        <f t="shared" si="34"/>
        <v>0</v>
      </c>
      <c r="I544" s="192">
        <f t="shared" si="35"/>
        <v>0</v>
      </c>
      <c r="J544" s="196"/>
      <c r="K544" s="196"/>
      <c r="L544" s="198" t="str">
        <f>IFERROR(VLOOKUP(#REF!,'[3]0-LPM'!$A$6:$D$10668,4,0),"")</f>
        <v/>
      </c>
      <c r="M544" s="188"/>
      <c r="N544" s="198" t="str">
        <f>IFERROR(VLOOKUP(A544,'[3]0-LPM'!$A$6:$D$10668,4,0),"")</f>
        <v/>
      </c>
      <c r="O544" s="206" t="s">
        <v>1113</v>
      </c>
    </row>
    <row r="545" spans="1:15" ht="12.2" customHeight="1" x14ac:dyDescent="0.25">
      <c r="A545" s="189" t="s">
        <v>1114</v>
      </c>
      <c r="B545" s="190" t="s">
        <v>1112</v>
      </c>
      <c r="C545" s="190" t="s">
        <v>1115</v>
      </c>
      <c r="D545" s="191">
        <v>0</v>
      </c>
      <c r="E545" s="192">
        <v>8800</v>
      </c>
      <c r="F545" s="193">
        <f t="shared" si="32"/>
        <v>7220</v>
      </c>
      <c r="G545" s="194">
        <f t="shared" si="33"/>
        <v>7480</v>
      </c>
      <c r="H545" s="195">
        <f t="shared" si="34"/>
        <v>7920</v>
      </c>
      <c r="I545" s="192">
        <f t="shared" si="35"/>
        <v>8360</v>
      </c>
      <c r="J545" s="196"/>
      <c r="K545" s="196"/>
      <c r="L545" s="198" t="str">
        <f>IFERROR(VLOOKUP(#REF!,'[3]0-LPM'!$A$6:$D$10668,4,0),"")</f>
        <v/>
      </c>
      <c r="M545" s="188"/>
      <c r="N545" s="198">
        <f>IFERROR(VLOOKUP(A545,'[3]0-LPM'!$A$6:$D$10668,4,0),"")</f>
        <v>1921.2936666666669</v>
      </c>
      <c r="O545" s="220">
        <f>+E621</f>
        <v>7900</v>
      </c>
    </row>
    <row r="546" spans="1:15" ht="12.2" customHeight="1" x14ac:dyDescent="0.25">
      <c r="A546" s="221" t="s">
        <v>1116</v>
      </c>
      <c r="B546" s="222" t="s">
        <v>1117</v>
      </c>
      <c r="C546" s="222" t="s">
        <v>1118</v>
      </c>
      <c r="D546" s="191"/>
      <c r="E546" s="192">
        <v>0</v>
      </c>
      <c r="F546" s="193">
        <f t="shared" si="32"/>
        <v>0</v>
      </c>
      <c r="G546" s="194">
        <f t="shared" si="33"/>
        <v>0</v>
      </c>
      <c r="H546" s="195">
        <f t="shared" si="34"/>
        <v>0</v>
      </c>
      <c r="I546" s="192">
        <f t="shared" si="35"/>
        <v>0</v>
      </c>
      <c r="J546" s="196"/>
      <c r="K546" s="196"/>
      <c r="L546" s="198" t="str">
        <f>IFERROR(VLOOKUP(#REF!,'[3]0-LPM'!$A$6:$D$10668,4,0),"")</f>
        <v/>
      </c>
      <c r="M546" s="188"/>
      <c r="N546" s="198" t="str">
        <f>IFERROR(VLOOKUP(A546,'[3]0-LPM'!$A$6:$D$10668,4,0),"")</f>
        <v/>
      </c>
      <c r="O546" s="222"/>
    </row>
    <row r="547" spans="1:15" ht="12.2" customHeight="1" x14ac:dyDescent="0.25">
      <c r="A547" s="189" t="s">
        <v>29</v>
      </c>
      <c r="B547" s="190" t="s">
        <v>1112</v>
      </c>
      <c r="C547" s="190" t="s">
        <v>1119</v>
      </c>
      <c r="D547" s="191"/>
      <c r="E547" s="192">
        <v>24500</v>
      </c>
      <c r="F547" s="193">
        <f t="shared" si="32"/>
        <v>20090</v>
      </c>
      <c r="G547" s="194">
        <f t="shared" si="33"/>
        <v>20830</v>
      </c>
      <c r="H547" s="195">
        <f t="shared" si="34"/>
        <v>22050</v>
      </c>
      <c r="I547" s="192">
        <f t="shared" si="35"/>
        <v>23280</v>
      </c>
      <c r="J547" s="196"/>
      <c r="K547" s="196"/>
      <c r="L547" s="198" t="str">
        <f>IFERROR(VLOOKUP(#REF!,'[3]0-LPM'!$A$6:$D$10668,4,0),"")</f>
        <v/>
      </c>
      <c r="M547" s="188"/>
      <c r="N547" s="198">
        <f>IFERROR(VLOOKUP(A547,'[3]0-LPM'!$A$6:$D$10668,4,0),"")</f>
        <v>2726.0349851851852</v>
      </c>
      <c r="O547" s="220">
        <f>+E599</f>
        <v>22300</v>
      </c>
    </row>
    <row r="548" spans="1:15" ht="12.2" customHeight="1" x14ac:dyDescent="0.25">
      <c r="A548" s="189" t="s">
        <v>27</v>
      </c>
      <c r="B548" s="190" t="s">
        <v>1112</v>
      </c>
      <c r="C548" s="190" t="s">
        <v>1120</v>
      </c>
      <c r="D548" s="191"/>
      <c r="E548" s="192">
        <v>23000</v>
      </c>
      <c r="F548" s="193">
        <f t="shared" si="32"/>
        <v>18860</v>
      </c>
      <c r="G548" s="194">
        <f t="shared" si="33"/>
        <v>19550</v>
      </c>
      <c r="H548" s="195">
        <f t="shared" si="34"/>
        <v>20700</v>
      </c>
      <c r="I548" s="192">
        <f t="shared" si="35"/>
        <v>21850</v>
      </c>
      <c r="J548" s="196"/>
      <c r="K548" s="196"/>
      <c r="L548" s="198" t="str">
        <f>IFERROR(VLOOKUP(#REF!,'[3]0-LPM'!$A$6:$D$10668,4,0),"")</f>
        <v/>
      </c>
      <c r="M548" s="188"/>
      <c r="N548" s="198">
        <f>IFERROR(VLOOKUP(A548,'[3]0-LPM'!$A$6:$D$10668,4,0),"")</f>
        <v>1200.1366666666668</v>
      </c>
      <c r="O548" s="220">
        <f>+E608</f>
        <v>20900</v>
      </c>
    </row>
    <row r="549" spans="1:15" ht="12.2" customHeight="1" x14ac:dyDescent="0.25">
      <c r="A549" s="189" t="s">
        <v>30</v>
      </c>
      <c r="B549" s="190" t="s">
        <v>1112</v>
      </c>
      <c r="C549" s="190" t="s">
        <v>1121</v>
      </c>
      <c r="D549" s="191"/>
      <c r="E549" s="192">
        <v>23000</v>
      </c>
      <c r="F549" s="193">
        <f t="shared" si="32"/>
        <v>18860</v>
      </c>
      <c r="G549" s="194">
        <f t="shared" si="33"/>
        <v>19550</v>
      </c>
      <c r="H549" s="195">
        <f t="shared" si="34"/>
        <v>20700</v>
      </c>
      <c r="I549" s="192">
        <f t="shared" si="35"/>
        <v>21850</v>
      </c>
      <c r="J549" s="196"/>
      <c r="K549" s="196"/>
      <c r="L549" s="198" t="str">
        <f>IFERROR(VLOOKUP(#REF!,'[3]0-LPM'!$A$6:$D$10668,4,0),"")</f>
        <v/>
      </c>
      <c r="M549" s="188"/>
      <c r="N549" s="198">
        <f>IFERROR(VLOOKUP(A549,'[3]0-LPM'!$A$6:$D$10668,4,0),"")</f>
        <v>2726.0349851851852</v>
      </c>
      <c r="O549" s="220">
        <f>+E603</f>
        <v>20900</v>
      </c>
    </row>
    <row r="550" spans="1:15" ht="12.2" customHeight="1" x14ac:dyDescent="0.25">
      <c r="A550" s="189" t="s">
        <v>16</v>
      </c>
      <c r="B550" s="190" t="s">
        <v>1112</v>
      </c>
      <c r="C550" s="190" t="s">
        <v>1122</v>
      </c>
      <c r="D550" s="191"/>
      <c r="E550" s="192">
        <v>13200</v>
      </c>
      <c r="F550" s="193">
        <f t="shared" si="32"/>
        <v>10820</v>
      </c>
      <c r="G550" s="194">
        <f t="shared" si="33"/>
        <v>11220</v>
      </c>
      <c r="H550" s="195">
        <f t="shared" si="34"/>
        <v>11880</v>
      </c>
      <c r="I550" s="192">
        <f t="shared" si="35"/>
        <v>12540</v>
      </c>
      <c r="J550" s="196"/>
      <c r="K550" s="196"/>
      <c r="L550" s="198" t="str">
        <f>IFERROR(VLOOKUP(#REF!,'[3]0-LPM'!$A$6:$D$10668,4,0),"")</f>
        <v/>
      </c>
      <c r="M550" s="188"/>
      <c r="N550" s="198">
        <f>IFERROR(VLOOKUP(A550,'[3]0-LPM'!$A$6:$D$10668,4,0),"")</f>
        <v>1962.8467999999998</v>
      </c>
      <c r="O550" s="220">
        <f>+E597</f>
        <v>12000</v>
      </c>
    </row>
    <row r="551" spans="1:15" ht="12.2" customHeight="1" x14ac:dyDescent="0.25">
      <c r="A551" s="189" t="s">
        <v>15</v>
      </c>
      <c r="B551" s="190" t="s">
        <v>1112</v>
      </c>
      <c r="C551" s="190" t="s">
        <v>1123</v>
      </c>
      <c r="D551" s="191">
        <v>0</v>
      </c>
      <c r="E551" s="192">
        <v>12100</v>
      </c>
      <c r="F551" s="193">
        <f t="shared" si="32"/>
        <v>9920</v>
      </c>
      <c r="G551" s="194">
        <f t="shared" si="33"/>
        <v>10290</v>
      </c>
      <c r="H551" s="195">
        <f t="shared" si="34"/>
        <v>10890</v>
      </c>
      <c r="I551" s="192">
        <f t="shared" si="35"/>
        <v>11500</v>
      </c>
      <c r="J551" s="196"/>
      <c r="K551" s="196"/>
      <c r="L551" s="198" t="str">
        <f>IFERROR(VLOOKUP(#REF!,'[3]0-LPM'!$A$6:$D$10668,4,0),"")</f>
        <v/>
      </c>
      <c r="M551" s="188"/>
      <c r="N551" s="198">
        <f>IFERROR(VLOOKUP(A551,'[3]0-LPM'!$A$6:$D$10668,4,0),"")</f>
        <v>1932.19145</v>
      </c>
      <c r="O551" s="220">
        <f>+E577</f>
        <v>9000</v>
      </c>
    </row>
    <row r="552" spans="1:15" ht="12.2" customHeight="1" x14ac:dyDescent="0.25">
      <c r="A552" s="189" t="s">
        <v>17</v>
      </c>
      <c r="B552" s="190" t="s">
        <v>1112</v>
      </c>
      <c r="C552" s="190" t="s">
        <v>1124</v>
      </c>
      <c r="D552" s="191">
        <v>0</v>
      </c>
      <c r="E552" s="192">
        <v>11400</v>
      </c>
      <c r="F552" s="193">
        <f t="shared" si="32"/>
        <v>9350</v>
      </c>
      <c r="G552" s="194">
        <f t="shared" si="33"/>
        <v>9690</v>
      </c>
      <c r="H552" s="195">
        <f t="shared" si="34"/>
        <v>10260</v>
      </c>
      <c r="I552" s="192">
        <f t="shared" si="35"/>
        <v>10830</v>
      </c>
      <c r="J552" s="196"/>
      <c r="K552" s="196"/>
      <c r="L552" s="198" t="str">
        <f>IFERROR(VLOOKUP(#REF!,'[3]0-LPM'!$A$6:$D$10668,4,0),"")</f>
        <v/>
      </c>
      <c r="M552" s="188"/>
      <c r="N552" s="198">
        <f>IFERROR(VLOOKUP(A552,'[3]0-LPM'!$A$6:$D$10668,4,0),"")</f>
        <v>771.24198000000001</v>
      </c>
      <c r="O552" s="220">
        <f>+E588</f>
        <v>10200</v>
      </c>
    </row>
    <row r="553" spans="1:15" ht="12.2" customHeight="1" x14ac:dyDescent="0.25">
      <c r="A553" s="189" t="s">
        <v>24</v>
      </c>
      <c r="B553" s="190" t="s">
        <v>1112</v>
      </c>
      <c r="C553" s="190" t="s">
        <v>1125</v>
      </c>
      <c r="D553" s="191">
        <v>0</v>
      </c>
      <c r="E553" s="192">
        <v>14400</v>
      </c>
      <c r="F553" s="193">
        <f t="shared" si="32"/>
        <v>11810</v>
      </c>
      <c r="G553" s="194">
        <f t="shared" si="33"/>
        <v>12240</v>
      </c>
      <c r="H553" s="195">
        <f t="shared" si="34"/>
        <v>12960</v>
      </c>
      <c r="I553" s="192">
        <f t="shared" si="35"/>
        <v>13680</v>
      </c>
      <c r="J553" s="196"/>
      <c r="K553" s="196"/>
      <c r="L553" s="198" t="str">
        <f>IFERROR(VLOOKUP(#REF!,'[3]0-LPM'!$A$6:$D$10668,4,0),"")</f>
        <v/>
      </c>
      <c r="M553" s="188"/>
      <c r="N553" s="198">
        <f>IFERROR(VLOOKUP(A553,'[3]0-LPM'!$A$6:$D$10668,4,0),"")</f>
        <v>1551.3092999999999</v>
      </c>
      <c r="O553" s="220">
        <f>+E618</f>
        <v>19000</v>
      </c>
    </row>
    <row r="554" spans="1:15" ht="12.2" customHeight="1" x14ac:dyDescent="0.25">
      <c r="A554" s="189" t="s">
        <v>23</v>
      </c>
      <c r="B554" s="190" t="s">
        <v>1112</v>
      </c>
      <c r="C554" s="190" t="s">
        <v>1126</v>
      </c>
      <c r="D554" s="191">
        <v>0</v>
      </c>
      <c r="E554" s="192">
        <v>12700</v>
      </c>
      <c r="F554" s="193">
        <f t="shared" si="32"/>
        <v>10410</v>
      </c>
      <c r="G554" s="194">
        <f t="shared" si="33"/>
        <v>10800</v>
      </c>
      <c r="H554" s="195">
        <f t="shared" si="34"/>
        <v>11430</v>
      </c>
      <c r="I554" s="192">
        <f t="shared" si="35"/>
        <v>12070</v>
      </c>
      <c r="J554" s="196"/>
      <c r="K554" s="196"/>
      <c r="L554" s="198" t="str">
        <f>IFERROR(VLOOKUP(#REF!,'[3]0-LPM'!$A$6:$D$10668,4,0),"")</f>
        <v/>
      </c>
      <c r="M554" s="188"/>
      <c r="N554" s="198">
        <f>IFERROR(VLOOKUP(A554,'[3]0-LPM'!$A$6:$D$10668,4,0),"")</f>
        <v>1011.24198</v>
      </c>
      <c r="O554" s="220">
        <f>+E616</f>
        <v>11600</v>
      </c>
    </row>
    <row r="555" spans="1:15" ht="12.2" customHeight="1" x14ac:dyDescent="0.25">
      <c r="A555" s="189" t="s">
        <v>1127</v>
      </c>
      <c r="B555" s="190" t="s">
        <v>1112</v>
      </c>
      <c r="C555" s="190" t="s">
        <v>1128</v>
      </c>
      <c r="D555" s="191">
        <v>0</v>
      </c>
      <c r="E555" s="192">
        <v>13100</v>
      </c>
      <c r="F555" s="193">
        <f t="shared" si="32"/>
        <v>10740</v>
      </c>
      <c r="G555" s="194">
        <f t="shared" si="33"/>
        <v>11140</v>
      </c>
      <c r="H555" s="195">
        <f t="shared" si="34"/>
        <v>11790</v>
      </c>
      <c r="I555" s="192">
        <f t="shared" si="35"/>
        <v>12450</v>
      </c>
      <c r="J555" s="196"/>
      <c r="K555" s="196"/>
      <c r="L555" s="198" t="str">
        <f>IFERROR(VLOOKUP(#REF!,'[3]0-LPM'!$A$6:$D$10668,4,0),"")</f>
        <v/>
      </c>
      <c r="M555" s="188"/>
      <c r="N555" s="198">
        <f>IFERROR(VLOOKUP(A555,'[3]0-LPM'!$A$6:$D$10668,4,0),"")</f>
        <v>2069.48405</v>
      </c>
      <c r="O555" s="220">
        <f>+E614</f>
        <v>16000</v>
      </c>
    </row>
    <row r="556" spans="1:15" ht="12.2" customHeight="1" x14ac:dyDescent="0.25">
      <c r="A556" s="189" t="s">
        <v>1129</v>
      </c>
      <c r="B556" s="190" t="s">
        <v>1112</v>
      </c>
      <c r="C556" s="190" t="s">
        <v>1130</v>
      </c>
      <c r="D556" s="191">
        <v>0</v>
      </c>
      <c r="E556" s="192">
        <v>23000</v>
      </c>
      <c r="F556" s="193">
        <f t="shared" si="32"/>
        <v>18860</v>
      </c>
      <c r="G556" s="194">
        <f t="shared" si="33"/>
        <v>19550</v>
      </c>
      <c r="H556" s="195">
        <f t="shared" si="34"/>
        <v>20700</v>
      </c>
      <c r="I556" s="192">
        <f t="shared" si="35"/>
        <v>21850</v>
      </c>
      <c r="J556" s="196"/>
      <c r="K556" s="196"/>
      <c r="L556" s="198" t="str">
        <f>IFERROR(VLOOKUP(#REF!,'[3]0-LPM'!$A$6:$D$10668,4,0),"")</f>
        <v/>
      </c>
      <c r="M556" s="188"/>
      <c r="N556" s="198">
        <f>IFERROR(VLOOKUP(A556,'[3]0-LPM'!$A$6:$D$10668,4,0),"")</f>
        <v>0</v>
      </c>
      <c r="O556" s="220">
        <f>+E623</f>
        <v>20900</v>
      </c>
    </row>
    <row r="557" spans="1:15" ht="12.2" customHeight="1" x14ac:dyDescent="0.25">
      <c r="A557" s="189" t="s">
        <v>1131</v>
      </c>
      <c r="B557" s="190" t="s">
        <v>1112</v>
      </c>
      <c r="C557" s="190" t="s">
        <v>1132</v>
      </c>
      <c r="D557" s="191">
        <v>0</v>
      </c>
      <c r="E557" s="192">
        <v>33000</v>
      </c>
      <c r="F557" s="193">
        <f t="shared" si="32"/>
        <v>27060</v>
      </c>
      <c r="G557" s="194">
        <f t="shared" si="33"/>
        <v>28050</v>
      </c>
      <c r="H557" s="195">
        <f t="shared" si="34"/>
        <v>29700</v>
      </c>
      <c r="I557" s="192">
        <f t="shared" si="35"/>
        <v>31350</v>
      </c>
      <c r="J557" s="196">
        <v>2346.2186172839502</v>
      </c>
      <c r="K557" s="196">
        <v>9166.2186172839502</v>
      </c>
      <c r="L557" s="197">
        <f>+E557-K557</f>
        <v>23833.78138271605</v>
      </c>
      <c r="M557" s="188">
        <f>+L557/E557</f>
        <v>0.72223579947624394</v>
      </c>
      <c r="N557" s="198">
        <f>IFERROR(VLOOKUP(A557,'[3]0-LPM'!$A$6:$D$10668,4,0),"")</f>
        <v>7591.9675555555559</v>
      </c>
      <c r="O557" s="220">
        <f>+E589</f>
        <v>30400</v>
      </c>
    </row>
    <row r="558" spans="1:15" ht="12.2" customHeight="1" x14ac:dyDescent="0.25">
      <c r="A558" s="189" t="s">
        <v>26</v>
      </c>
      <c r="B558" s="190" t="s">
        <v>1112</v>
      </c>
      <c r="C558" s="190" t="s">
        <v>1133</v>
      </c>
      <c r="D558" s="191">
        <v>0</v>
      </c>
      <c r="E558" s="192">
        <v>20000</v>
      </c>
      <c r="F558" s="193">
        <f t="shared" si="32"/>
        <v>16400</v>
      </c>
      <c r="G558" s="194">
        <f t="shared" si="33"/>
        <v>17000</v>
      </c>
      <c r="H558" s="195">
        <f t="shared" si="34"/>
        <v>18000</v>
      </c>
      <c r="I558" s="192">
        <f t="shared" si="35"/>
        <v>19000</v>
      </c>
      <c r="J558" s="196"/>
      <c r="K558" s="196"/>
      <c r="L558" s="198" t="str">
        <f>IFERROR(VLOOKUP(#REF!,'[3]0-LPM'!$A$6:$D$10668,4,0),"")</f>
        <v/>
      </c>
      <c r="M558" s="188"/>
      <c r="N558" s="198">
        <f>IFERROR(VLOOKUP(A558,'[3]0-LPM'!$A$6:$D$10668,4,0),"")</f>
        <v>0</v>
      </c>
      <c r="O558" s="220">
        <f>+E605</f>
        <v>18500</v>
      </c>
    </row>
    <row r="559" spans="1:15" ht="12.2" customHeight="1" x14ac:dyDescent="0.25">
      <c r="A559" s="189" t="s">
        <v>35</v>
      </c>
      <c r="B559" s="190" t="s">
        <v>1112</v>
      </c>
      <c r="C559" s="190" t="s">
        <v>1134</v>
      </c>
      <c r="D559" s="191">
        <v>0</v>
      </c>
      <c r="E559" s="192">
        <v>27000</v>
      </c>
      <c r="F559" s="193">
        <f t="shared" si="32"/>
        <v>22140</v>
      </c>
      <c r="G559" s="194">
        <f t="shared" si="33"/>
        <v>22950</v>
      </c>
      <c r="H559" s="195">
        <f t="shared" si="34"/>
        <v>24300</v>
      </c>
      <c r="I559" s="192">
        <f t="shared" si="35"/>
        <v>25650</v>
      </c>
      <c r="J559" s="196"/>
      <c r="K559" s="196"/>
      <c r="L559" s="198" t="str">
        <f>IFERROR(VLOOKUP(#REF!,'[3]0-LPM'!$A$6:$D$10668,4,0),"")</f>
        <v/>
      </c>
      <c r="M559" s="188"/>
      <c r="N559" s="198">
        <f>IFERROR(VLOOKUP(A559,'[3]0-LPM'!$A$6:$D$10668,4,0),"")</f>
        <v>0</v>
      </c>
      <c r="O559" s="220">
        <f>+E612</f>
        <v>20000</v>
      </c>
    </row>
    <row r="560" spans="1:15" ht="12.2" customHeight="1" x14ac:dyDescent="0.25">
      <c r="A560" s="189" t="s">
        <v>28</v>
      </c>
      <c r="B560" s="190" t="s">
        <v>1112</v>
      </c>
      <c r="C560" s="190" t="s">
        <v>1135</v>
      </c>
      <c r="D560" s="191">
        <v>0</v>
      </c>
      <c r="E560" s="192">
        <v>16400</v>
      </c>
      <c r="F560" s="193">
        <f t="shared" si="32"/>
        <v>13450</v>
      </c>
      <c r="G560" s="194">
        <f t="shared" si="33"/>
        <v>13940</v>
      </c>
      <c r="H560" s="195">
        <f t="shared" si="34"/>
        <v>14760</v>
      </c>
      <c r="I560" s="192">
        <f t="shared" si="35"/>
        <v>15580</v>
      </c>
      <c r="J560" s="196"/>
      <c r="K560" s="196"/>
      <c r="L560" s="198" t="str">
        <f>IFERROR(VLOOKUP(#REF!,'[3]0-LPM'!$A$6:$D$10668,4,0),"")</f>
        <v/>
      </c>
      <c r="M560" s="188"/>
      <c r="N560" s="198">
        <f>IFERROR(VLOOKUP(A560,'[3]0-LPM'!$A$6:$D$10668,4,0),"")</f>
        <v>494.18377142857139</v>
      </c>
      <c r="O560" s="220">
        <f>+E604</f>
        <v>14900</v>
      </c>
    </row>
    <row r="561" spans="1:15" ht="12.2" customHeight="1" x14ac:dyDescent="0.25">
      <c r="A561" s="189" t="s">
        <v>31</v>
      </c>
      <c r="B561" s="190" t="s">
        <v>1112</v>
      </c>
      <c r="C561" s="190" t="s">
        <v>1136</v>
      </c>
      <c r="D561" s="191">
        <v>0</v>
      </c>
      <c r="E561" s="192">
        <v>12000</v>
      </c>
      <c r="F561" s="193">
        <f t="shared" si="32"/>
        <v>9840</v>
      </c>
      <c r="G561" s="194">
        <f t="shared" si="33"/>
        <v>10200</v>
      </c>
      <c r="H561" s="195">
        <f t="shared" si="34"/>
        <v>10800</v>
      </c>
      <c r="I561" s="192">
        <f t="shared" si="35"/>
        <v>11400</v>
      </c>
      <c r="J561" s="196"/>
      <c r="K561" s="196"/>
      <c r="L561" s="198" t="str">
        <f>IFERROR(VLOOKUP(#REF!,'[3]0-LPM'!$A$6:$D$10668,4,0),"")</f>
        <v/>
      </c>
      <c r="M561" s="188"/>
      <c r="N561" s="198">
        <f>IFERROR(VLOOKUP(A561,'[3]0-LPM'!$A$6:$D$10668,4,0),"")</f>
        <v>576.54773333333321</v>
      </c>
      <c r="O561" s="220">
        <f>+E606</f>
        <v>14000</v>
      </c>
    </row>
    <row r="562" spans="1:15" ht="12.2" customHeight="1" x14ac:dyDescent="0.25">
      <c r="A562" s="189" t="s">
        <v>25</v>
      </c>
      <c r="B562" s="190" t="s">
        <v>1112</v>
      </c>
      <c r="C562" s="190" t="s">
        <v>1137</v>
      </c>
      <c r="D562" s="191">
        <v>0</v>
      </c>
      <c r="E562" s="192">
        <v>19000</v>
      </c>
      <c r="F562" s="193">
        <f t="shared" si="32"/>
        <v>15580</v>
      </c>
      <c r="G562" s="194">
        <f t="shared" si="33"/>
        <v>16150</v>
      </c>
      <c r="H562" s="195">
        <f t="shared" si="34"/>
        <v>17100</v>
      </c>
      <c r="I562" s="192">
        <f t="shared" si="35"/>
        <v>18050</v>
      </c>
      <c r="J562" s="196"/>
      <c r="K562" s="196"/>
      <c r="L562" s="198" t="str">
        <f>IFERROR(VLOOKUP(#REF!,'[3]0-LPM'!$A$6:$D$10668,4,0),"")</f>
        <v/>
      </c>
      <c r="M562" s="188"/>
      <c r="N562" s="198">
        <f>IFERROR(VLOOKUP(A562,'[3]0-LPM'!$A$6:$D$10668,4,0),"")</f>
        <v>2486.5494666666664</v>
      </c>
      <c r="O562" s="220">
        <f>+O559</f>
        <v>20000</v>
      </c>
    </row>
    <row r="563" spans="1:15" ht="12.2" customHeight="1" x14ac:dyDescent="0.25">
      <c r="A563" s="189" t="s">
        <v>1138</v>
      </c>
      <c r="B563" s="190" t="s">
        <v>1112</v>
      </c>
      <c r="C563" s="190" t="s">
        <v>1139</v>
      </c>
      <c r="D563" s="191">
        <v>0</v>
      </c>
      <c r="E563" s="192">
        <v>19000</v>
      </c>
      <c r="F563" s="193">
        <f t="shared" si="32"/>
        <v>15580</v>
      </c>
      <c r="G563" s="194">
        <f t="shared" si="33"/>
        <v>16150</v>
      </c>
      <c r="H563" s="195">
        <f t="shared" si="34"/>
        <v>17100</v>
      </c>
      <c r="I563" s="192">
        <f t="shared" si="35"/>
        <v>18050</v>
      </c>
      <c r="J563" s="196"/>
      <c r="K563" s="196"/>
      <c r="L563" s="198" t="str">
        <f>IFERROR(VLOOKUP(#REF!,'[3]0-LPM'!$A$6:$D$10668,4,0),"")</f>
        <v/>
      </c>
      <c r="M563" s="188"/>
      <c r="N563" s="198">
        <f>IFERROR(VLOOKUP(A563,'[3]0-LPM'!$A$6:$D$10668,4,0),"")</f>
        <v>2486.5494666666664</v>
      </c>
      <c r="O563" s="220">
        <f>+O562</f>
        <v>20000</v>
      </c>
    </row>
    <row r="564" spans="1:15" ht="12.2" customHeight="1" x14ac:dyDescent="0.25">
      <c r="A564" s="189" t="s">
        <v>34</v>
      </c>
      <c r="B564" s="190" t="s">
        <v>1112</v>
      </c>
      <c r="C564" s="190" t="s">
        <v>1140</v>
      </c>
      <c r="D564" s="191">
        <v>0</v>
      </c>
      <c r="E564" s="192">
        <v>27000</v>
      </c>
      <c r="F564" s="193">
        <f t="shared" si="32"/>
        <v>22140</v>
      </c>
      <c r="G564" s="194">
        <f t="shared" si="33"/>
        <v>22950</v>
      </c>
      <c r="H564" s="195">
        <f t="shared" si="34"/>
        <v>24300</v>
      </c>
      <c r="I564" s="192">
        <f t="shared" si="35"/>
        <v>25650</v>
      </c>
      <c r="J564" s="196"/>
      <c r="K564" s="196"/>
      <c r="L564" s="198" t="str">
        <f>IFERROR(VLOOKUP(#REF!,'[3]0-LPM'!$A$6:$D$10668,4,0),"")</f>
        <v/>
      </c>
      <c r="M564" s="188"/>
      <c r="N564" s="198">
        <f>IFERROR(VLOOKUP(A564,'[3]0-LPM'!$A$6:$D$10668,4,0),"")</f>
        <v>2726.0349851851852</v>
      </c>
      <c r="O564" s="220">
        <f>+E602</f>
        <v>18400</v>
      </c>
    </row>
    <row r="565" spans="1:15" ht="12.2" customHeight="1" x14ac:dyDescent="0.25">
      <c r="A565" s="189" t="s">
        <v>1141</v>
      </c>
      <c r="B565" s="190" t="s">
        <v>1112</v>
      </c>
      <c r="C565" s="190" t="s">
        <v>1142</v>
      </c>
      <c r="D565" s="191">
        <v>0</v>
      </c>
      <c r="E565" s="192">
        <v>23000</v>
      </c>
      <c r="F565" s="193">
        <f t="shared" si="32"/>
        <v>18860</v>
      </c>
      <c r="G565" s="194">
        <f t="shared" si="33"/>
        <v>19550</v>
      </c>
      <c r="H565" s="195">
        <f t="shared" si="34"/>
        <v>20700</v>
      </c>
      <c r="I565" s="192">
        <f t="shared" si="35"/>
        <v>21850</v>
      </c>
      <c r="J565" s="196"/>
      <c r="K565" s="196"/>
      <c r="L565" s="198" t="str">
        <f>IFERROR(VLOOKUP(#REF!,'[3]0-LPM'!$A$6:$D$10668,4,0),"")</f>
        <v/>
      </c>
      <c r="M565" s="188"/>
      <c r="N565" s="198">
        <f>IFERROR(VLOOKUP(A565,'[3]0-LPM'!$A$6:$D$10668,4,0),"")</f>
        <v>4526.1851333333334</v>
      </c>
      <c r="O565" s="220">
        <f>+E594</f>
        <v>20900</v>
      </c>
    </row>
    <row r="566" spans="1:15" ht="12.2" customHeight="1" x14ac:dyDescent="0.25">
      <c r="A566" s="189" t="s">
        <v>32</v>
      </c>
      <c r="B566" s="190" t="s">
        <v>1112</v>
      </c>
      <c r="C566" s="190" t="s">
        <v>1143</v>
      </c>
      <c r="D566" s="191">
        <v>0</v>
      </c>
      <c r="E566" s="192">
        <v>24500</v>
      </c>
      <c r="F566" s="193">
        <f t="shared" si="32"/>
        <v>20090</v>
      </c>
      <c r="G566" s="194">
        <f t="shared" si="33"/>
        <v>20830</v>
      </c>
      <c r="H566" s="195">
        <f t="shared" si="34"/>
        <v>22050</v>
      </c>
      <c r="I566" s="192">
        <f t="shared" si="35"/>
        <v>23280</v>
      </c>
      <c r="J566" s="196"/>
      <c r="K566" s="196"/>
      <c r="L566" s="198" t="str">
        <f>IFERROR(VLOOKUP(#REF!,'[3]0-LPM'!$A$6:$D$10668,4,0),"")</f>
        <v/>
      </c>
      <c r="M566" s="188"/>
      <c r="N566" s="198">
        <f>IFERROR(VLOOKUP(A566,'[3]0-LPM'!$A$6:$D$10668,4,0),"")</f>
        <v>0</v>
      </c>
      <c r="O566" s="220">
        <f>+E624</f>
        <v>22300</v>
      </c>
    </row>
    <row r="567" spans="1:15" ht="12.2" customHeight="1" x14ac:dyDescent="0.25">
      <c r="A567" s="189" t="s">
        <v>1144</v>
      </c>
      <c r="B567" s="190" t="s">
        <v>1112</v>
      </c>
      <c r="C567" s="190" t="s">
        <v>1145</v>
      </c>
      <c r="D567" s="191">
        <v>0</v>
      </c>
      <c r="E567" s="192">
        <v>11400</v>
      </c>
      <c r="F567" s="193">
        <f t="shared" si="32"/>
        <v>9350</v>
      </c>
      <c r="G567" s="194">
        <f t="shared" si="33"/>
        <v>9690</v>
      </c>
      <c r="H567" s="195">
        <f t="shared" si="34"/>
        <v>10260</v>
      </c>
      <c r="I567" s="192">
        <f t="shared" si="35"/>
        <v>10830</v>
      </c>
      <c r="J567" s="196"/>
      <c r="K567" s="196"/>
      <c r="L567" s="198" t="str">
        <f>IFERROR(VLOOKUP(#REF!,'[3]0-LPM'!$A$6:$D$10668,4,0),"")</f>
        <v/>
      </c>
      <c r="M567" s="188"/>
      <c r="N567" s="198" t="str">
        <f>IFERROR(VLOOKUP(A567,'[3]0-LPM'!$A$6:$D$10668,4,0),"")</f>
        <v/>
      </c>
      <c r="O567" s="220">
        <f>+E592</f>
        <v>10200</v>
      </c>
    </row>
    <row r="568" spans="1:15" ht="12.2" customHeight="1" x14ac:dyDescent="0.25">
      <c r="A568" s="189" t="s">
        <v>1146</v>
      </c>
      <c r="B568" s="190" t="s">
        <v>1112</v>
      </c>
      <c r="C568" s="190" t="s">
        <v>1147</v>
      </c>
      <c r="D568" s="191">
        <v>0</v>
      </c>
      <c r="E568" s="192">
        <v>15400</v>
      </c>
      <c r="F568" s="193">
        <f t="shared" si="32"/>
        <v>12630</v>
      </c>
      <c r="G568" s="194">
        <f t="shared" si="33"/>
        <v>13090</v>
      </c>
      <c r="H568" s="195">
        <f t="shared" si="34"/>
        <v>13860</v>
      </c>
      <c r="I568" s="192">
        <f t="shared" si="35"/>
        <v>14630</v>
      </c>
      <c r="J568" s="196"/>
      <c r="K568" s="196"/>
      <c r="L568" s="198" t="str">
        <f>IFERROR(VLOOKUP(#REF!,'[3]0-LPM'!$A$6:$D$10668,4,0),"")</f>
        <v/>
      </c>
      <c r="M568" s="188"/>
      <c r="N568" s="198" t="str">
        <f>IFERROR(VLOOKUP(A568,'[3]0-LPM'!$A$6:$D$10668,4,0),"")</f>
        <v/>
      </c>
      <c r="O568" s="220">
        <f>+E629</f>
        <v>14000</v>
      </c>
    </row>
    <row r="569" spans="1:15" ht="12.2" customHeight="1" x14ac:dyDescent="0.25">
      <c r="A569" s="189" t="s">
        <v>1148</v>
      </c>
      <c r="B569" s="190" t="s">
        <v>1112</v>
      </c>
      <c r="C569" s="190" t="s">
        <v>1149</v>
      </c>
      <c r="D569" s="191">
        <v>0</v>
      </c>
      <c r="E569" s="192">
        <v>14000</v>
      </c>
      <c r="F569" s="193">
        <f t="shared" si="32"/>
        <v>11480</v>
      </c>
      <c r="G569" s="194">
        <f t="shared" si="33"/>
        <v>11900</v>
      </c>
      <c r="H569" s="195">
        <f t="shared" si="34"/>
        <v>12600</v>
      </c>
      <c r="I569" s="192">
        <f t="shared" si="35"/>
        <v>13300</v>
      </c>
      <c r="J569" s="196"/>
      <c r="K569" s="196"/>
      <c r="L569" s="198" t="str">
        <f>IFERROR(VLOOKUP(#REF!,'[3]0-LPM'!$A$6:$D$10668,4,0),"")</f>
        <v/>
      </c>
      <c r="M569" s="188"/>
      <c r="N569" s="198" t="str">
        <f>IFERROR(VLOOKUP(A569,'[3]0-LPM'!$A$6:$D$10668,4,0),"")</f>
        <v/>
      </c>
      <c r="O569" s="220">
        <f>+E634</f>
        <v>15000</v>
      </c>
    </row>
    <row r="570" spans="1:15" ht="12.2" customHeight="1" x14ac:dyDescent="0.25">
      <c r="A570" s="204"/>
      <c r="B570" s="205"/>
      <c r="C570" s="206" t="str">
        <f>+B571</f>
        <v>LATA CRUDA</v>
      </c>
      <c r="D570" s="191">
        <v>0</v>
      </c>
      <c r="E570" s="192">
        <v>0</v>
      </c>
      <c r="F570" s="193">
        <f t="shared" si="32"/>
        <v>0</v>
      </c>
      <c r="G570" s="194">
        <f t="shared" si="33"/>
        <v>0</v>
      </c>
      <c r="H570" s="195">
        <f t="shared" si="34"/>
        <v>0</v>
      </c>
      <c r="I570" s="192">
        <f t="shared" si="35"/>
        <v>0</v>
      </c>
      <c r="J570" s="196"/>
      <c r="K570" s="196"/>
      <c r="L570" s="198" t="str">
        <f>IFERROR(VLOOKUP(#REF!,'[3]0-LPM'!$A$6:$D$10668,4,0),"")</f>
        <v/>
      </c>
      <c r="M570" s="188"/>
      <c r="N570" s="198" t="str">
        <f>IFERROR(VLOOKUP(A570,'[3]0-LPM'!$A$6:$D$10668,4,0),"")</f>
        <v/>
      </c>
      <c r="O570" s="206"/>
    </row>
    <row r="571" spans="1:15" ht="12.2" customHeight="1" x14ac:dyDescent="0.25">
      <c r="A571" s="189" t="s">
        <v>1150</v>
      </c>
      <c r="B571" s="190" t="s">
        <v>1151</v>
      </c>
      <c r="C571" s="200" t="s">
        <v>1152</v>
      </c>
      <c r="D571" s="191">
        <v>0</v>
      </c>
      <c r="E571" s="192">
        <v>5000</v>
      </c>
      <c r="F571" s="193">
        <f t="shared" si="32"/>
        <v>4100</v>
      </c>
      <c r="G571" s="194">
        <f t="shared" si="33"/>
        <v>4250</v>
      </c>
      <c r="H571" s="195">
        <f t="shared" si="34"/>
        <v>4500</v>
      </c>
      <c r="I571" s="192">
        <f t="shared" si="35"/>
        <v>4750</v>
      </c>
      <c r="J571" s="196"/>
      <c r="K571" s="196"/>
      <c r="L571" s="198" t="str">
        <f>IFERROR(VLOOKUP(#REF!,'[3]0-LPM'!$A$6:$D$10668,4,0),"")</f>
        <v/>
      </c>
      <c r="M571" s="188"/>
      <c r="N571" s="198">
        <f>IFERROR(VLOOKUP(A571,'[3]0-LPM'!$A$6:$D$10668,4,0),"")</f>
        <v>811.79238333333331</v>
      </c>
      <c r="O571" s="200"/>
    </row>
    <row r="572" spans="1:15" ht="12.2" customHeight="1" x14ac:dyDescent="0.25">
      <c r="A572" s="189" t="s">
        <v>1153</v>
      </c>
      <c r="B572" s="190" t="s">
        <v>1151</v>
      </c>
      <c r="C572" s="200" t="s">
        <v>1154</v>
      </c>
      <c r="D572" s="191">
        <v>0</v>
      </c>
      <c r="E572" s="192">
        <v>5000</v>
      </c>
      <c r="F572" s="193">
        <f t="shared" si="32"/>
        <v>4100</v>
      </c>
      <c r="G572" s="194">
        <f t="shared" si="33"/>
        <v>4250</v>
      </c>
      <c r="H572" s="195">
        <f t="shared" si="34"/>
        <v>4500</v>
      </c>
      <c r="I572" s="192">
        <f t="shared" si="35"/>
        <v>4750</v>
      </c>
      <c r="J572" s="196"/>
      <c r="K572" s="196"/>
      <c r="L572" s="198" t="str">
        <f>IFERROR(VLOOKUP(#REF!,'[3]0-LPM'!$A$6:$D$10668,4,0),"")</f>
        <v/>
      </c>
      <c r="M572" s="188"/>
      <c r="N572" s="198">
        <f>IFERROR(VLOOKUP(A572,'[3]0-LPM'!$A$6:$D$10668,4,0),"")</f>
        <v>811.79238333333331</v>
      </c>
      <c r="O572" s="200"/>
    </row>
    <row r="573" spans="1:15" ht="12.2" customHeight="1" x14ac:dyDescent="0.25">
      <c r="A573" s="189" t="s">
        <v>1155</v>
      </c>
      <c r="B573" s="190" t="s">
        <v>1151</v>
      </c>
      <c r="C573" s="200" t="s">
        <v>1156</v>
      </c>
      <c r="D573" s="191">
        <v>0</v>
      </c>
      <c r="E573" s="192">
        <v>5000</v>
      </c>
      <c r="F573" s="193">
        <f t="shared" si="32"/>
        <v>4100</v>
      </c>
      <c r="G573" s="194">
        <f t="shared" si="33"/>
        <v>4250</v>
      </c>
      <c r="H573" s="195">
        <f t="shared" si="34"/>
        <v>4500</v>
      </c>
      <c r="I573" s="192">
        <f t="shared" si="35"/>
        <v>4750</v>
      </c>
      <c r="J573" s="196"/>
      <c r="K573" s="196"/>
      <c r="L573" s="198" t="str">
        <f>IFERROR(VLOOKUP(#REF!,'[3]0-LPM'!$A$6:$D$10668,4,0),"")</f>
        <v/>
      </c>
      <c r="M573" s="188"/>
      <c r="N573" s="198">
        <f>IFERROR(VLOOKUP(A573,'[3]0-LPM'!$A$6:$D$10668,4,0),"")</f>
        <v>811.79238333333331</v>
      </c>
      <c r="O573" s="200"/>
    </row>
    <row r="574" spans="1:15" ht="12.2" customHeight="1" x14ac:dyDescent="0.25">
      <c r="A574" s="189" t="s">
        <v>1157</v>
      </c>
      <c r="B574" s="190" t="s">
        <v>1151</v>
      </c>
      <c r="C574" s="200" t="s">
        <v>1158</v>
      </c>
      <c r="D574" s="191">
        <v>0</v>
      </c>
      <c r="E574" s="192">
        <v>5000</v>
      </c>
      <c r="F574" s="193">
        <f t="shared" si="32"/>
        <v>4100</v>
      </c>
      <c r="G574" s="194">
        <f t="shared" si="33"/>
        <v>4250</v>
      </c>
      <c r="H574" s="195">
        <f t="shared" si="34"/>
        <v>4500</v>
      </c>
      <c r="I574" s="192">
        <f t="shared" si="35"/>
        <v>4750</v>
      </c>
      <c r="J574" s="196"/>
      <c r="K574" s="196"/>
      <c r="L574" s="198" t="str">
        <f>IFERROR(VLOOKUP(#REF!,'[3]0-LPM'!$A$6:$D$10668,4,0),"")</f>
        <v/>
      </c>
      <c r="M574" s="188"/>
      <c r="N574" s="198">
        <f>IFERROR(VLOOKUP(A574,'[3]0-LPM'!$A$6:$D$10668,4,0),"")</f>
        <v>811.79238333333331</v>
      </c>
      <c r="O574" s="200"/>
    </row>
    <row r="575" spans="1:15" ht="12.2" customHeight="1" x14ac:dyDescent="0.25">
      <c r="A575" s="189" t="s">
        <v>1159</v>
      </c>
      <c r="B575" s="190" t="s">
        <v>1151</v>
      </c>
      <c r="C575" s="200" t="s">
        <v>1160</v>
      </c>
      <c r="D575" s="191">
        <v>0</v>
      </c>
      <c r="E575" s="192">
        <v>5000</v>
      </c>
      <c r="F575" s="193">
        <f t="shared" si="32"/>
        <v>4100</v>
      </c>
      <c r="G575" s="194">
        <f t="shared" si="33"/>
        <v>4250</v>
      </c>
      <c r="H575" s="195">
        <f t="shared" si="34"/>
        <v>4500</v>
      </c>
      <c r="I575" s="192">
        <f t="shared" si="35"/>
        <v>4750</v>
      </c>
      <c r="J575" s="196"/>
      <c r="K575" s="196"/>
      <c r="L575" s="198" t="str">
        <f>IFERROR(VLOOKUP(#REF!,'[3]0-LPM'!$A$6:$D$10668,4,0),"")</f>
        <v/>
      </c>
      <c r="M575" s="188"/>
      <c r="N575" s="198">
        <f>IFERROR(VLOOKUP(A575,'[3]0-LPM'!$A$6:$D$10668,4,0),"")</f>
        <v>534.52825555555546</v>
      </c>
      <c r="O575" s="200"/>
    </row>
    <row r="576" spans="1:15" ht="12.2" customHeight="1" x14ac:dyDescent="0.25">
      <c r="A576" s="189" t="s">
        <v>1161</v>
      </c>
      <c r="B576" s="190" t="s">
        <v>1151</v>
      </c>
      <c r="C576" s="190" t="s">
        <v>1162</v>
      </c>
      <c r="D576" s="191">
        <v>0</v>
      </c>
      <c r="E576" s="192">
        <v>5000</v>
      </c>
      <c r="F576" s="193">
        <f t="shared" si="32"/>
        <v>4100</v>
      </c>
      <c r="G576" s="194">
        <f t="shared" si="33"/>
        <v>4250</v>
      </c>
      <c r="H576" s="195">
        <f t="shared" si="34"/>
        <v>4500</v>
      </c>
      <c r="I576" s="192">
        <f t="shared" si="35"/>
        <v>4750</v>
      </c>
      <c r="J576" s="196"/>
      <c r="K576" s="196"/>
      <c r="L576" s="198" t="str">
        <f>IFERROR(VLOOKUP(#REF!,'[3]0-LPM'!$A$6:$D$10668,4,0),"")</f>
        <v/>
      </c>
      <c r="M576" s="188"/>
      <c r="N576" s="198">
        <f>IFERROR(VLOOKUP(A576,'[3]0-LPM'!$A$6:$D$10668,4,0),"")</f>
        <v>811.79238333333331</v>
      </c>
      <c r="O576" s="190"/>
    </row>
    <row r="577" spans="1:15" ht="12.2" customHeight="1" x14ac:dyDescent="0.25">
      <c r="A577" s="189" t="s">
        <v>1163</v>
      </c>
      <c r="B577" s="190" t="s">
        <v>1151</v>
      </c>
      <c r="C577" s="190" t="s">
        <v>1164</v>
      </c>
      <c r="D577" s="191">
        <v>0</v>
      </c>
      <c r="E577" s="192">
        <v>9000</v>
      </c>
      <c r="F577" s="193">
        <f t="shared" si="32"/>
        <v>7380</v>
      </c>
      <c r="G577" s="194">
        <f t="shared" si="33"/>
        <v>7650</v>
      </c>
      <c r="H577" s="195">
        <f t="shared" si="34"/>
        <v>8100</v>
      </c>
      <c r="I577" s="192">
        <f t="shared" si="35"/>
        <v>8550</v>
      </c>
      <c r="J577" s="196"/>
      <c r="K577" s="196"/>
      <c r="L577" s="198" t="str">
        <f>IFERROR(VLOOKUP(#REF!,'[3]0-LPM'!$A$6:$D$10668,4,0),"")</f>
        <v/>
      </c>
      <c r="M577" s="188"/>
      <c r="N577" s="198">
        <f>IFERROR(VLOOKUP(A577,'[3]0-LPM'!$A$6:$D$10668,4,0),"")</f>
        <v>1932.19145</v>
      </c>
      <c r="O577" s="190"/>
    </row>
    <row r="578" spans="1:15" ht="12.2" customHeight="1" x14ac:dyDescent="0.25">
      <c r="A578" s="189" t="s">
        <v>1165</v>
      </c>
      <c r="B578" s="190" t="s">
        <v>1151</v>
      </c>
      <c r="C578" s="190" t="s">
        <v>1166</v>
      </c>
      <c r="D578" s="191">
        <v>0</v>
      </c>
      <c r="E578" s="192">
        <v>9000</v>
      </c>
      <c r="F578" s="193">
        <f t="shared" si="32"/>
        <v>7380</v>
      </c>
      <c r="G578" s="194">
        <f t="shared" si="33"/>
        <v>7650</v>
      </c>
      <c r="H578" s="195">
        <f t="shared" si="34"/>
        <v>8100</v>
      </c>
      <c r="I578" s="192">
        <f t="shared" si="35"/>
        <v>8550</v>
      </c>
      <c r="J578" s="196"/>
      <c r="K578" s="196"/>
      <c r="L578" s="198" t="str">
        <f>IFERROR(VLOOKUP(#REF!,'[3]0-LPM'!$A$6:$D$10668,4,0),"")</f>
        <v/>
      </c>
      <c r="M578" s="188"/>
      <c r="N578" s="198">
        <f>IFERROR(VLOOKUP(A578,'[3]0-LPM'!$A$6:$D$10668,4,0),"")</f>
        <v>0</v>
      </c>
      <c r="O578" s="190"/>
    </row>
    <row r="579" spans="1:15" ht="12.2" customHeight="1" x14ac:dyDescent="0.25">
      <c r="A579" s="189" t="s">
        <v>1167</v>
      </c>
      <c r="B579" s="190" t="s">
        <v>1151</v>
      </c>
      <c r="C579" s="190" t="s">
        <v>1168</v>
      </c>
      <c r="D579" s="191">
        <v>0</v>
      </c>
      <c r="E579" s="192">
        <v>8000</v>
      </c>
      <c r="F579" s="193">
        <f t="shared" si="32"/>
        <v>6560</v>
      </c>
      <c r="G579" s="194">
        <f t="shared" si="33"/>
        <v>6800</v>
      </c>
      <c r="H579" s="195">
        <f t="shared" si="34"/>
        <v>7200</v>
      </c>
      <c r="I579" s="192">
        <f t="shared" si="35"/>
        <v>7600</v>
      </c>
      <c r="J579" s="196"/>
      <c r="K579" s="196"/>
      <c r="L579" s="198" t="str">
        <f>IFERROR(VLOOKUP(#REF!,'[3]0-LPM'!$A$6:$D$10668,4,0),"")</f>
        <v/>
      </c>
      <c r="M579" s="188"/>
      <c r="N579" s="198">
        <f>IFERROR(VLOOKUP(A579,'[3]0-LPM'!$A$6:$D$10668,4,0),"")</f>
        <v>1926.8984500000001</v>
      </c>
      <c r="O579" s="190"/>
    </row>
    <row r="580" spans="1:15" ht="12.2" customHeight="1" x14ac:dyDescent="0.25">
      <c r="A580" s="189" t="s">
        <v>1169</v>
      </c>
      <c r="B580" s="190" t="s">
        <v>1151</v>
      </c>
      <c r="C580" s="190" t="s">
        <v>1170</v>
      </c>
      <c r="D580" s="191">
        <v>0</v>
      </c>
      <c r="E580" s="192">
        <v>9000</v>
      </c>
      <c r="F580" s="193">
        <f t="shared" si="32"/>
        <v>7380</v>
      </c>
      <c r="G580" s="194">
        <f t="shared" si="33"/>
        <v>7650</v>
      </c>
      <c r="H580" s="195">
        <f t="shared" si="34"/>
        <v>8100</v>
      </c>
      <c r="I580" s="192">
        <f t="shared" si="35"/>
        <v>8550</v>
      </c>
      <c r="J580" s="196"/>
      <c r="K580" s="196"/>
      <c r="L580" s="198" t="str">
        <f>IFERROR(VLOOKUP(#REF!,'[3]0-LPM'!$A$6:$D$10668,4,0),"")</f>
        <v/>
      </c>
      <c r="M580" s="188"/>
      <c r="N580" s="198">
        <f>IFERROR(VLOOKUP(A580,'[3]0-LPM'!$A$6:$D$10668,4,0),"")</f>
        <v>1926.8984500000001</v>
      </c>
      <c r="O580" s="190"/>
    </row>
    <row r="581" spans="1:15" ht="12.2" customHeight="1" x14ac:dyDescent="0.25">
      <c r="A581" s="189" t="s">
        <v>1171</v>
      </c>
      <c r="B581" s="190" t="s">
        <v>1151</v>
      </c>
      <c r="C581" s="190" t="s">
        <v>1172</v>
      </c>
      <c r="D581" s="191">
        <v>0</v>
      </c>
      <c r="E581" s="192">
        <v>11200</v>
      </c>
      <c r="F581" s="193">
        <f t="shared" si="32"/>
        <v>9180</v>
      </c>
      <c r="G581" s="194">
        <f t="shared" si="33"/>
        <v>9520</v>
      </c>
      <c r="H581" s="195">
        <f t="shared" si="34"/>
        <v>10080</v>
      </c>
      <c r="I581" s="192">
        <f t="shared" si="35"/>
        <v>10640</v>
      </c>
      <c r="J581" s="196"/>
      <c r="K581" s="196"/>
      <c r="L581" s="198" t="str">
        <f>IFERROR(VLOOKUP(#REF!,'[3]0-LPM'!$A$6:$D$10668,4,0),"")</f>
        <v/>
      </c>
      <c r="M581" s="188"/>
      <c r="N581" s="198">
        <f>IFERROR(VLOOKUP(A581,'[3]0-LPM'!$A$6:$D$10668,4,0),"")</f>
        <v>1027.1461666666669</v>
      </c>
      <c r="O581" s="190"/>
    </row>
    <row r="582" spans="1:15" ht="12.2" customHeight="1" x14ac:dyDescent="0.25">
      <c r="A582" s="189" t="s">
        <v>1173</v>
      </c>
      <c r="B582" s="190" t="s">
        <v>1151</v>
      </c>
      <c r="C582" s="190" t="s">
        <v>1174</v>
      </c>
      <c r="D582" s="191">
        <v>0</v>
      </c>
      <c r="E582" s="192">
        <v>12000</v>
      </c>
      <c r="F582" s="193">
        <f t="shared" si="32"/>
        <v>9840</v>
      </c>
      <c r="G582" s="194">
        <f t="shared" si="33"/>
        <v>10200</v>
      </c>
      <c r="H582" s="195">
        <f t="shared" si="34"/>
        <v>10800</v>
      </c>
      <c r="I582" s="192">
        <f t="shared" si="35"/>
        <v>11400</v>
      </c>
      <c r="J582" s="196"/>
      <c r="K582" s="196"/>
      <c r="L582" s="198" t="str">
        <f>IFERROR(VLOOKUP(#REF!,'[3]0-LPM'!$A$6:$D$10668,4,0),"")</f>
        <v/>
      </c>
      <c r="M582" s="188"/>
      <c r="N582" s="198">
        <f>IFERROR(VLOOKUP(A582,'[3]0-LPM'!$A$6:$D$10668,4,0),"")</f>
        <v>3081.4384999999997</v>
      </c>
      <c r="O582" s="190"/>
    </row>
    <row r="583" spans="1:15" ht="12.2" customHeight="1" x14ac:dyDescent="0.25">
      <c r="A583" s="189" t="s">
        <v>1175</v>
      </c>
      <c r="B583" s="190" t="s">
        <v>1151</v>
      </c>
      <c r="C583" s="223" t="s">
        <v>1176</v>
      </c>
      <c r="D583" s="191">
        <v>0</v>
      </c>
      <c r="E583" s="192">
        <v>7900</v>
      </c>
      <c r="F583" s="193">
        <f t="shared" si="32"/>
        <v>6480</v>
      </c>
      <c r="G583" s="194">
        <f t="shared" si="33"/>
        <v>6720</v>
      </c>
      <c r="H583" s="195">
        <f t="shared" si="34"/>
        <v>7110</v>
      </c>
      <c r="I583" s="192">
        <f t="shared" si="35"/>
        <v>7510</v>
      </c>
      <c r="J583" s="196"/>
      <c r="K583" s="196"/>
      <c r="L583" s="198" t="str">
        <f>IFERROR(VLOOKUP(#REF!,'[3]0-LPM'!$A$6:$D$10668,4,0),"")</f>
        <v/>
      </c>
      <c r="M583" s="188"/>
      <c r="N583" s="198">
        <f>IFERROR(VLOOKUP(A583,'[3]0-LPM'!$A$6:$D$10668,4,0),"")</f>
        <v>1533.3851875</v>
      </c>
      <c r="O583" s="223"/>
    </row>
    <row r="584" spans="1:15" ht="12.2" customHeight="1" x14ac:dyDescent="0.25">
      <c r="A584" s="189" t="s">
        <v>1177</v>
      </c>
      <c r="B584" s="190" t="s">
        <v>1151</v>
      </c>
      <c r="C584" s="190" t="s">
        <v>1178</v>
      </c>
      <c r="D584" s="191">
        <v>0</v>
      </c>
      <c r="E584" s="192">
        <v>2417</v>
      </c>
      <c r="F584" s="193">
        <f t="shared" si="32"/>
        <v>1980</v>
      </c>
      <c r="G584" s="194">
        <f t="shared" si="33"/>
        <v>2050</v>
      </c>
      <c r="H584" s="195">
        <f t="shared" si="34"/>
        <v>2180</v>
      </c>
      <c r="I584" s="192">
        <f t="shared" si="35"/>
        <v>2300</v>
      </c>
      <c r="J584" s="196"/>
      <c r="K584" s="196"/>
      <c r="L584" s="198" t="str">
        <f>IFERROR(VLOOKUP(#REF!,'[3]0-LPM'!$A$6:$D$10668,4,0),"")</f>
        <v/>
      </c>
      <c r="M584" s="188"/>
      <c r="N584" s="198">
        <f>IFERROR(VLOOKUP(A584,'[3]0-LPM'!$A$6:$D$10668,4,0),"")</f>
        <v>268.19956989247311</v>
      </c>
      <c r="O584" s="190"/>
    </row>
    <row r="585" spans="1:15" ht="12.2" customHeight="1" x14ac:dyDescent="0.25">
      <c r="A585" s="199" t="s">
        <v>33</v>
      </c>
      <c r="B585" s="190" t="s">
        <v>1151</v>
      </c>
      <c r="C585" s="190" t="s">
        <v>1179</v>
      </c>
      <c r="D585" s="191">
        <v>0</v>
      </c>
      <c r="E585" s="192">
        <v>450</v>
      </c>
      <c r="F585" s="193">
        <f t="shared" si="32"/>
        <v>370</v>
      </c>
      <c r="G585" s="194">
        <f t="shared" si="33"/>
        <v>380</v>
      </c>
      <c r="H585" s="195">
        <f t="shared" si="34"/>
        <v>410</v>
      </c>
      <c r="I585" s="192">
        <f t="shared" si="35"/>
        <v>430</v>
      </c>
      <c r="J585" s="196"/>
      <c r="K585" s="196"/>
      <c r="L585" s="198" t="str">
        <f>IFERROR(VLOOKUP(#REF!,'[3]0-LPM'!$A$6:$D$10668,4,0),"")</f>
        <v/>
      </c>
      <c r="M585" s="188"/>
      <c r="N585" s="198">
        <f>IFERROR(VLOOKUP(A585,'[3]0-LPM'!$A$6:$D$10668,4,0),"")</f>
        <v>40.065674999999999</v>
      </c>
      <c r="O585" s="190"/>
    </row>
    <row r="586" spans="1:15" ht="12.2" customHeight="1" x14ac:dyDescent="0.25">
      <c r="A586" s="189" t="s">
        <v>1180</v>
      </c>
      <c r="B586" s="190" t="s">
        <v>1151</v>
      </c>
      <c r="C586" s="190" t="s">
        <v>1181</v>
      </c>
      <c r="D586" s="191">
        <v>0</v>
      </c>
      <c r="E586" s="192">
        <v>14900</v>
      </c>
      <c r="F586" s="193">
        <f t="shared" si="32"/>
        <v>12220</v>
      </c>
      <c r="G586" s="194">
        <f t="shared" si="33"/>
        <v>12670</v>
      </c>
      <c r="H586" s="195">
        <f t="shared" si="34"/>
        <v>13410</v>
      </c>
      <c r="I586" s="192">
        <f t="shared" si="35"/>
        <v>14160</v>
      </c>
      <c r="J586" s="196"/>
      <c r="K586" s="196"/>
      <c r="L586" s="198" t="str">
        <f>IFERROR(VLOOKUP(#REF!,'[3]0-LPM'!$A$6:$D$10668,4,0),"")</f>
        <v/>
      </c>
      <c r="M586" s="188"/>
      <c r="N586" s="198">
        <f>IFERROR(VLOOKUP(A586,'[3]0-LPM'!$A$6:$D$10668,4,0),"")</f>
        <v>2022.48396</v>
      </c>
      <c r="O586" s="190"/>
    </row>
    <row r="587" spans="1:15" ht="12.2" customHeight="1" x14ac:dyDescent="0.25">
      <c r="A587" s="189" t="s">
        <v>1182</v>
      </c>
      <c r="B587" s="190" t="s">
        <v>1151</v>
      </c>
      <c r="C587" s="190" t="s">
        <v>1183</v>
      </c>
      <c r="D587" s="191">
        <v>0</v>
      </c>
      <c r="E587" s="192">
        <v>14900</v>
      </c>
      <c r="F587" s="193">
        <f t="shared" si="32"/>
        <v>12220</v>
      </c>
      <c r="G587" s="194">
        <f t="shared" si="33"/>
        <v>12670</v>
      </c>
      <c r="H587" s="195">
        <f t="shared" si="34"/>
        <v>13410</v>
      </c>
      <c r="I587" s="192">
        <f t="shared" si="35"/>
        <v>14160</v>
      </c>
      <c r="J587" s="196"/>
      <c r="K587" s="196"/>
      <c r="L587" s="198" t="str">
        <f>IFERROR(VLOOKUP(#REF!,'[3]0-LPM'!$A$6:$D$10668,4,0),"")</f>
        <v/>
      </c>
      <c r="M587" s="188"/>
      <c r="N587" s="198">
        <f>IFERROR(VLOOKUP(A587,'[3]0-LPM'!$A$6:$D$10668,4,0),"")</f>
        <v>1542.48396</v>
      </c>
      <c r="O587" s="190"/>
    </row>
    <row r="588" spans="1:15" ht="12.2" customHeight="1" x14ac:dyDescent="0.25">
      <c r="A588" s="189" t="s">
        <v>1184</v>
      </c>
      <c r="B588" s="190" t="s">
        <v>1151</v>
      </c>
      <c r="C588" s="190" t="s">
        <v>1185</v>
      </c>
      <c r="D588" s="191">
        <v>0</v>
      </c>
      <c r="E588" s="192">
        <v>10200</v>
      </c>
      <c r="F588" s="193">
        <f t="shared" si="32"/>
        <v>8360</v>
      </c>
      <c r="G588" s="194">
        <f t="shared" si="33"/>
        <v>8670</v>
      </c>
      <c r="H588" s="195">
        <f t="shared" si="34"/>
        <v>9180</v>
      </c>
      <c r="I588" s="192">
        <f t="shared" si="35"/>
        <v>9690</v>
      </c>
      <c r="J588" s="196"/>
      <c r="K588" s="196"/>
      <c r="L588" s="198" t="str">
        <f>IFERROR(VLOOKUP(#REF!,'[3]0-LPM'!$A$6:$D$10668,4,0),"")</f>
        <v/>
      </c>
      <c r="M588" s="188"/>
      <c r="N588" s="198">
        <f>IFERROR(VLOOKUP(A588,'[3]0-LPM'!$A$6:$D$10668,4,0),"")</f>
        <v>771.24198000000001</v>
      </c>
      <c r="O588" s="190"/>
    </row>
    <row r="589" spans="1:15" ht="12.2" customHeight="1" x14ac:dyDescent="0.25">
      <c r="A589" s="189" t="s">
        <v>39</v>
      </c>
      <c r="B589" s="190" t="s">
        <v>1151</v>
      </c>
      <c r="C589" s="190" t="s">
        <v>1186</v>
      </c>
      <c r="D589" s="191">
        <v>0</v>
      </c>
      <c r="E589" s="192">
        <v>30400</v>
      </c>
      <c r="F589" s="193">
        <f t="shared" si="32"/>
        <v>24930</v>
      </c>
      <c r="G589" s="194">
        <f t="shared" si="33"/>
        <v>25840</v>
      </c>
      <c r="H589" s="195">
        <f t="shared" si="34"/>
        <v>27360</v>
      </c>
      <c r="I589" s="192">
        <f t="shared" si="35"/>
        <v>28880</v>
      </c>
      <c r="J589" s="196"/>
      <c r="K589" s="196"/>
      <c r="L589" s="198" t="str">
        <f>IFERROR(VLOOKUP(#REF!,'[3]0-LPM'!$A$6:$D$10668,4,0),"")</f>
        <v/>
      </c>
      <c r="M589" s="188"/>
      <c r="N589" s="198">
        <f>IFERROR(VLOOKUP(A589,'[3]0-LPM'!$A$6:$D$10668,4,0),"")</f>
        <v>7591.9675555555559</v>
      </c>
      <c r="O589" s="190"/>
    </row>
    <row r="590" spans="1:15" ht="12.2" customHeight="1" x14ac:dyDescent="0.25">
      <c r="A590" s="189" t="s">
        <v>1187</v>
      </c>
      <c r="B590" s="190" t="s">
        <v>1151</v>
      </c>
      <c r="C590" s="190" t="s">
        <v>1188</v>
      </c>
      <c r="D590" s="191">
        <v>0</v>
      </c>
      <c r="E590" s="192">
        <v>17280</v>
      </c>
      <c r="F590" s="193">
        <f t="shared" si="32"/>
        <v>14170</v>
      </c>
      <c r="G590" s="194">
        <f t="shared" si="33"/>
        <v>14690</v>
      </c>
      <c r="H590" s="195">
        <f t="shared" si="34"/>
        <v>15550</v>
      </c>
      <c r="I590" s="192">
        <f t="shared" si="35"/>
        <v>16420</v>
      </c>
      <c r="J590" s="196"/>
      <c r="K590" s="196"/>
      <c r="L590" s="198" t="str">
        <f>IFERROR(VLOOKUP(#REF!,'[3]0-LPM'!$A$6:$D$10668,4,0),"")</f>
        <v/>
      </c>
      <c r="M590" s="188"/>
      <c r="N590" s="198">
        <f>IFERROR(VLOOKUP(A590,'[3]0-LPM'!$A$6:$D$10668,4,0),"")</f>
        <v>4526.1851333333334</v>
      </c>
      <c r="O590" s="190"/>
    </row>
    <row r="591" spans="1:15" ht="12.2" customHeight="1" x14ac:dyDescent="0.25">
      <c r="A591" s="189" t="s">
        <v>1189</v>
      </c>
      <c r="B591" s="190" t="s">
        <v>1151</v>
      </c>
      <c r="C591" s="190" t="s">
        <v>1190</v>
      </c>
      <c r="D591" s="191">
        <v>0</v>
      </c>
      <c r="E591" s="192">
        <v>20000</v>
      </c>
      <c r="F591" s="193">
        <f t="shared" si="32"/>
        <v>16400</v>
      </c>
      <c r="G591" s="194">
        <f t="shared" si="33"/>
        <v>17000</v>
      </c>
      <c r="H591" s="195">
        <f t="shared" si="34"/>
        <v>18000</v>
      </c>
      <c r="I591" s="192">
        <f t="shared" si="35"/>
        <v>19000</v>
      </c>
      <c r="J591" s="196"/>
      <c r="K591" s="196"/>
      <c r="L591" s="198" t="str">
        <f>IFERROR(VLOOKUP(#REF!,'[3]0-LPM'!$A$6:$D$10668,4,0),"")</f>
        <v/>
      </c>
      <c r="M591" s="188"/>
      <c r="N591" s="198">
        <f>IFERROR(VLOOKUP(A591,'[3]0-LPM'!$A$6:$D$10668,4,0),"")</f>
        <v>1961.6919999999998</v>
      </c>
      <c r="O591" s="190"/>
    </row>
    <row r="592" spans="1:15" ht="12.2" customHeight="1" x14ac:dyDescent="0.25">
      <c r="A592" s="189" t="s">
        <v>1191</v>
      </c>
      <c r="B592" s="190" t="s">
        <v>1151</v>
      </c>
      <c r="C592" s="190" t="s">
        <v>1192</v>
      </c>
      <c r="D592" s="191">
        <v>0</v>
      </c>
      <c r="E592" s="192">
        <v>10200</v>
      </c>
      <c r="F592" s="193">
        <f t="shared" si="32"/>
        <v>8360</v>
      </c>
      <c r="G592" s="194">
        <f t="shared" si="33"/>
        <v>8670</v>
      </c>
      <c r="H592" s="195">
        <f t="shared" si="34"/>
        <v>9180</v>
      </c>
      <c r="I592" s="192">
        <f t="shared" si="35"/>
        <v>9690</v>
      </c>
      <c r="J592" s="196"/>
      <c r="K592" s="196"/>
      <c r="L592" s="198" t="str">
        <f>IFERROR(VLOOKUP(#REF!,'[3]0-LPM'!$A$6:$D$10668,4,0),"")</f>
        <v/>
      </c>
      <c r="M592" s="188"/>
      <c r="N592" s="198">
        <f>IFERROR(VLOOKUP(A592,'[3]0-LPM'!$A$6:$D$10668,4,0),"")</f>
        <v>1867.2683428571427</v>
      </c>
      <c r="O592" s="190"/>
    </row>
    <row r="593" spans="1:15" ht="12.2" customHeight="1" x14ac:dyDescent="0.25">
      <c r="A593" s="189" t="s">
        <v>1193</v>
      </c>
      <c r="B593" s="190" t="s">
        <v>1151</v>
      </c>
      <c r="C593" s="190" t="s">
        <v>1194</v>
      </c>
      <c r="D593" s="191">
        <v>0</v>
      </c>
      <c r="E593" s="192">
        <v>20900</v>
      </c>
      <c r="F593" s="193">
        <f t="shared" si="32"/>
        <v>17140</v>
      </c>
      <c r="G593" s="194">
        <f t="shared" si="33"/>
        <v>17770</v>
      </c>
      <c r="H593" s="195">
        <f t="shared" si="34"/>
        <v>18810</v>
      </c>
      <c r="I593" s="192">
        <f t="shared" si="35"/>
        <v>19860</v>
      </c>
      <c r="J593" s="196"/>
      <c r="K593" s="196"/>
      <c r="L593" s="198" t="str">
        <f>IFERROR(VLOOKUP(#REF!,'[3]0-LPM'!$A$6:$D$10668,4,0),"")</f>
        <v/>
      </c>
      <c r="M593" s="188"/>
      <c r="N593" s="198">
        <f>IFERROR(VLOOKUP(A593,'[3]0-LPM'!$A$6:$D$10668,4,0),"")</f>
        <v>5326.1851333333334</v>
      </c>
      <c r="O593" s="190"/>
    </row>
    <row r="594" spans="1:15" ht="12.2" customHeight="1" x14ac:dyDescent="0.25">
      <c r="A594" s="189" t="s">
        <v>1195</v>
      </c>
      <c r="B594" s="190" t="s">
        <v>1151</v>
      </c>
      <c r="C594" s="190" t="s">
        <v>1196</v>
      </c>
      <c r="D594" s="191">
        <v>0</v>
      </c>
      <c r="E594" s="192">
        <v>20900</v>
      </c>
      <c r="F594" s="193">
        <f t="shared" si="32"/>
        <v>17140</v>
      </c>
      <c r="G594" s="194">
        <f t="shared" si="33"/>
        <v>17770</v>
      </c>
      <c r="H594" s="195">
        <f t="shared" si="34"/>
        <v>18810</v>
      </c>
      <c r="I594" s="192">
        <f t="shared" si="35"/>
        <v>19860</v>
      </c>
      <c r="J594" s="196"/>
      <c r="K594" s="196"/>
      <c r="L594" s="198" t="str">
        <f>IFERROR(VLOOKUP(#REF!,'[3]0-LPM'!$A$6:$D$10668,4,0),"")</f>
        <v/>
      </c>
      <c r="M594" s="188"/>
      <c r="N594" s="198">
        <f>IFERROR(VLOOKUP(A594,'[3]0-LPM'!$A$6:$D$10668,4,0),"")</f>
        <v>2019.0497999999998</v>
      </c>
      <c r="O594" s="190"/>
    </row>
    <row r="595" spans="1:15" ht="12.2" customHeight="1" x14ac:dyDescent="0.25">
      <c r="A595" s="189" t="s">
        <v>1197</v>
      </c>
      <c r="B595" s="190" t="s">
        <v>1151</v>
      </c>
      <c r="C595" s="190" t="s">
        <v>1198</v>
      </c>
      <c r="D595" s="191">
        <v>0</v>
      </c>
      <c r="E595" s="192">
        <v>26700</v>
      </c>
      <c r="F595" s="193">
        <f t="shared" si="32"/>
        <v>21890</v>
      </c>
      <c r="G595" s="194">
        <f t="shared" si="33"/>
        <v>22700</v>
      </c>
      <c r="H595" s="195">
        <f t="shared" si="34"/>
        <v>24030</v>
      </c>
      <c r="I595" s="192">
        <f t="shared" si="35"/>
        <v>25370</v>
      </c>
      <c r="J595" s="196"/>
      <c r="K595" s="196"/>
      <c r="L595" s="198" t="str">
        <f>IFERROR(VLOOKUP(#REF!,'[3]0-LPM'!$A$6:$D$10668,4,0),"")</f>
        <v/>
      </c>
      <c r="M595" s="188"/>
      <c r="N595" s="198">
        <f>IFERROR(VLOOKUP(A595,'[3]0-LPM'!$A$6:$D$10668,4,0),"")</f>
        <v>5343.4884666666667</v>
      </c>
      <c r="O595" s="190"/>
    </row>
    <row r="596" spans="1:15" ht="12.2" customHeight="1" x14ac:dyDescent="0.25">
      <c r="A596" s="189" t="s">
        <v>1199</v>
      </c>
      <c r="B596" s="190" t="s">
        <v>1151</v>
      </c>
      <c r="C596" s="190" t="s">
        <v>1200</v>
      </c>
      <c r="D596" s="191">
        <v>0</v>
      </c>
      <c r="E596" s="192">
        <v>18900</v>
      </c>
      <c r="F596" s="193">
        <f t="shared" si="32"/>
        <v>15500</v>
      </c>
      <c r="G596" s="194">
        <f t="shared" si="33"/>
        <v>16070</v>
      </c>
      <c r="H596" s="195">
        <f t="shared" si="34"/>
        <v>17010</v>
      </c>
      <c r="I596" s="192">
        <f t="shared" si="35"/>
        <v>17960</v>
      </c>
      <c r="J596" s="196"/>
      <c r="K596" s="196"/>
      <c r="L596" s="198" t="str">
        <f>IFERROR(VLOOKUP(#REF!,'[3]0-LPM'!$A$6:$D$10668,4,0),"")</f>
        <v/>
      </c>
      <c r="M596" s="188"/>
      <c r="N596" s="198">
        <f>IFERROR(VLOOKUP(A596,'[3]0-LPM'!$A$6:$D$10668,4,0),"")</f>
        <v>4734.8951333333334</v>
      </c>
      <c r="O596" s="190"/>
    </row>
    <row r="597" spans="1:15" ht="12.2" customHeight="1" x14ac:dyDescent="0.25">
      <c r="A597" s="189" t="s">
        <v>1201</v>
      </c>
      <c r="B597" s="190" t="s">
        <v>1151</v>
      </c>
      <c r="C597" s="190" t="s">
        <v>1202</v>
      </c>
      <c r="D597" s="191">
        <v>0</v>
      </c>
      <c r="E597" s="192">
        <v>12000</v>
      </c>
      <c r="F597" s="193">
        <f t="shared" si="32"/>
        <v>9840</v>
      </c>
      <c r="G597" s="194">
        <f t="shared" si="33"/>
        <v>10200</v>
      </c>
      <c r="H597" s="195">
        <f t="shared" si="34"/>
        <v>10800</v>
      </c>
      <c r="I597" s="192">
        <f t="shared" si="35"/>
        <v>11400</v>
      </c>
      <c r="J597" s="196"/>
      <c r="K597" s="196"/>
      <c r="L597" s="198" t="str">
        <f>IFERROR(VLOOKUP(#REF!,'[3]0-LPM'!$A$6:$D$10668,4,0),"")</f>
        <v/>
      </c>
      <c r="M597" s="188"/>
      <c r="N597" s="198">
        <f>IFERROR(VLOOKUP(A597,'[3]0-LPM'!$A$6:$D$10668,4,0),"")</f>
        <v>1962.8467999999998</v>
      </c>
      <c r="O597" s="190"/>
    </row>
    <row r="598" spans="1:15" ht="12.2" customHeight="1" x14ac:dyDescent="0.25">
      <c r="A598" s="189" t="s">
        <v>1203</v>
      </c>
      <c r="B598" s="190" t="s">
        <v>1151</v>
      </c>
      <c r="C598" s="190" t="s">
        <v>1204</v>
      </c>
      <c r="D598" s="191">
        <v>0</v>
      </c>
      <c r="E598" s="192">
        <v>18400</v>
      </c>
      <c r="F598" s="193">
        <f t="shared" si="32"/>
        <v>15090</v>
      </c>
      <c r="G598" s="194">
        <f t="shared" si="33"/>
        <v>15640</v>
      </c>
      <c r="H598" s="195">
        <f t="shared" si="34"/>
        <v>16560</v>
      </c>
      <c r="I598" s="192">
        <f t="shared" si="35"/>
        <v>17480</v>
      </c>
      <c r="J598" s="196"/>
      <c r="K598" s="196"/>
      <c r="L598" s="198" t="str">
        <f>IFERROR(VLOOKUP(#REF!,'[3]0-LPM'!$A$6:$D$10668,4,0),"")</f>
        <v/>
      </c>
      <c r="M598" s="188"/>
      <c r="N598" s="198">
        <f>IFERROR(VLOOKUP(A598,'[3]0-LPM'!$A$6:$D$10668,4,0),"")</f>
        <v>2889.8002666666671</v>
      </c>
      <c r="O598" s="190"/>
    </row>
    <row r="599" spans="1:15" ht="12.2" customHeight="1" x14ac:dyDescent="0.25">
      <c r="A599" s="189" t="s">
        <v>1205</v>
      </c>
      <c r="B599" s="190" t="s">
        <v>1151</v>
      </c>
      <c r="C599" s="200" t="s">
        <v>1206</v>
      </c>
      <c r="D599" s="191">
        <v>0</v>
      </c>
      <c r="E599" s="192">
        <v>22300</v>
      </c>
      <c r="F599" s="193">
        <f t="shared" si="32"/>
        <v>18290</v>
      </c>
      <c r="G599" s="194">
        <f t="shared" si="33"/>
        <v>18960</v>
      </c>
      <c r="H599" s="195">
        <f t="shared" si="34"/>
        <v>20070</v>
      </c>
      <c r="I599" s="192">
        <f t="shared" si="35"/>
        <v>21190</v>
      </c>
      <c r="J599" s="196"/>
      <c r="K599" s="196"/>
      <c r="L599" s="198" t="str">
        <f>IFERROR(VLOOKUP(#REF!,'[3]0-LPM'!$A$6:$D$10668,4,0),"")</f>
        <v/>
      </c>
      <c r="M599" s="188"/>
      <c r="N599" s="198">
        <f>IFERROR(VLOOKUP(A599,'[3]0-LPM'!$A$6:$D$10668,4,0),"")</f>
        <v>2726.0349851851852</v>
      </c>
      <c r="O599" s="200"/>
    </row>
    <row r="600" spans="1:15" ht="12.2" customHeight="1" x14ac:dyDescent="0.25">
      <c r="A600" s="189" t="s">
        <v>1207</v>
      </c>
      <c r="B600" s="190" t="s">
        <v>1151</v>
      </c>
      <c r="C600" s="200" t="s">
        <v>1208</v>
      </c>
      <c r="D600" s="191">
        <v>0</v>
      </c>
      <c r="E600" s="192">
        <v>22300</v>
      </c>
      <c r="F600" s="193">
        <f t="shared" si="32"/>
        <v>18290</v>
      </c>
      <c r="G600" s="194">
        <f t="shared" si="33"/>
        <v>18960</v>
      </c>
      <c r="H600" s="195">
        <f t="shared" si="34"/>
        <v>20070</v>
      </c>
      <c r="I600" s="192">
        <f t="shared" si="35"/>
        <v>21190</v>
      </c>
      <c r="J600" s="196"/>
      <c r="K600" s="196"/>
      <c r="L600" s="198" t="str">
        <f>IFERROR(VLOOKUP(#REF!,'[3]0-LPM'!$A$6:$D$10668,4,0),"")</f>
        <v/>
      </c>
      <c r="M600" s="188"/>
      <c r="N600" s="198">
        <f>IFERROR(VLOOKUP(A600,'[3]0-LPM'!$A$6:$D$10668,4,0),"")</f>
        <v>0</v>
      </c>
      <c r="O600" s="200"/>
    </row>
    <row r="601" spans="1:15" ht="12.2" customHeight="1" x14ac:dyDescent="0.25">
      <c r="A601" s="189" t="s">
        <v>1209</v>
      </c>
      <c r="B601" s="190" t="s">
        <v>1151</v>
      </c>
      <c r="C601" s="200" t="s">
        <v>1210</v>
      </c>
      <c r="D601" s="191">
        <v>0</v>
      </c>
      <c r="E601" s="192">
        <v>18400</v>
      </c>
      <c r="F601" s="193">
        <f t="shared" si="32"/>
        <v>15090</v>
      </c>
      <c r="G601" s="194">
        <f t="shared" si="33"/>
        <v>15640</v>
      </c>
      <c r="H601" s="195">
        <f t="shared" si="34"/>
        <v>16560</v>
      </c>
      <c r="I601" s="192">
        <f t="shared" si="35"/>
        <v>17480</v>
      </c>
      <c r="J601" s="196"/>
      <c r="K601" s="196"/>
      <c r="L601" s="198" t="str">
        <f>IFERROR(VLOOKUP(#REF!,'[3]0-LPM'!$A$6:$D$10668,4,0),"")</f>
        <v/>
      </c>
      <c r="M601" s="188"/>
      <c r="N601" s="198">
        <f>IFERROR(VLOOKUP(A601,'[3]0-LPM'!$A$6:$D$10668,4,0),"")</f>
        <v>2142.7334074074074</v>
      </c>
      <c r="O601" s="200"/>
    </row>
    <row r="602" spans="1:15" ht="12.2" customHeight="1" x14ac:dyDescent="0.25">
      <c r="A602" s="189" t="s">
        <v>1211</v>
      </c>
      <c r="B602" s="190" t="s">
        <v>1151</v>
      </c>
      <c r="C602" s="200" t="s">
        <v>1212</v>
      </c>
      <c r="D602" s="191">
        <v>0</v>
      </c>
      <c r="E602" s="192">
        <v>18400</v>
      </c>
      <c r="F602" s="193">
        <f t="shared" si="32"/>
        <v>15090</v>
      </c>
      <c r="G602" s="194">
        <f t="shared" si="33"/>
        <v>15640</v>
      </c>
      <c r="H602" s="195">
        <f t="shared" si="34"/>
        <v>16560</v>
      </c>
      <c r="I602" s="192">
        <f t="shared" si="35"/>
        <v>17480</v>
      </c>
      <c r="J602" s="196"/>
      <c r="K602" s="196"/>
      <c r="L602" s="198" t="str">
        <f>IFERROR(VLOOKUP(#REF!,'[3]0-LPM'!$A$6:$D$10668,4,0),"")</f>
        <v/>
      </c>
      <c r="M602" s="188"/>
      <c r="N602" s="198">
        <f>IFERROR(VLOOKUP(A602,'[3]0-LPM'!$A$6:$D$10668,4,0),"")</f>
        <v>2583.3754296296297</v>
      </c>
      <c r="O602" s="200"/>
    </row>
    <row r="603" spans="1:15" ht="12.2" customHeight="1" x14ac:dyDescent="0.25">
      <c r="A603" s="189" t="s">
        <v>1213</v>
      </c>
      <c r="B603" s="190" t="s">
        <v>1151</v>
      </c>
      <c r="C603" s="200" t="s">
        <v>1214</v>
      </c>
      <c r="D603" s="191">
        <v>0</v>
      </c>
      <c r="E603" s="192">
        <v>20900</v>
      </c>
      <c r="F603" s="193">
        <f t="shared" si="32"/>
        <v>17140</v>
      </c>
      <c r="G603" s="194">
        <f t="shared" si="33"/>
        <v>17770</v>
      </c>
      <c r="H603" s="195">
        <f t="shared" si="34"/>
        <v>18810</v>
      </c>
      <c r="I603" s="192">
        <f t="shared" si="35"/>
        <v>19860</v>
      </c>
      <c r="J603" s="196"/>
      <c r="K603" s="196"/>
      <c r="L603" s="198" t="str">
        <f>IFERROR(VLOOKUP(#REF!,'[3]0-LPM'!$A$6:$D$10668,4,0),"")</f>
        <v/>
      </c>
      <c r="M603" s="188"/>
      <c r="N603" s="198">
        <f>IFERROR(VLOOKUP(A603,'[3]0-LPM'!$A$6:$D$10668,4,0),"")</f>
        <v>2726.0349851851852</v>
      </c>
      <c r="O603" s="200"/>
    </row>
    <row r="604" spans="1:15" ht="12.2" customHeight="1" x14ac:dyDescent="0.25">
      <c r="A604" s="189" t="s">
        <v>1215</v>
      </c>
      <c r="B604" s="190" t="s">
        <v>1151</v>
      </c>
      <c r="C604" s="200" t="s">
        <v>1216</v>
      </c>
      <c r="D604" s="191">
        <v>0</v>
      </c>
      <c r="E604" s="192">
        <v>14900</v>
      </c>
      <c r="F604" s="193">
        <f t="shared" si="32"/>
        <v>12220</v>
      </c>
      <c r="G604" s="194">
        <f t="shared" si="33"/>
        <v>12670</v>
      </c>
      <c r="H604" s="195">
        <f t="shared" si="34"/>
        <v>13410</v>
      </c>
      <c r="I604" s="192">
        <f t="shared" si="35"/>
        <v>14160</v>
      </c>
      <c r="J604" s="196"/>
      <c r="K604" s="196"/>
      <c r="L604" s="198" t="str">
        <f>IFERROR(VLOOKUP(#REF!,'[3]0-LPM'!$A$6:$D$10668,4,0),"")</f>
        <v/>
      </c>
      <c r="M604" s="188"/>
      <c r="N604" s="198">
        <f>IFERROR(VLOOKUP(A604,'[3]0-LPM'!$A$6:$D$10668,4,0),"")</f>
        <v>494.18377142857139</v>
      </c>
      <c r="O604" s="200"/>
    </row>
    <row r="605" spans="1:15" ht="12.2" customHeight="1" x14ac:dyDescent="0.25">
      <c r="A605" s="189" t="s">
        <v>1217</v>
      </c>
      <c r="B605" s="190" t="s">
        <v>1151</v>
      </c>
      <c r="C605" s="200" t="s">
        <v>1218</v>
      </c>
      <c r="D605" s="191">
        <v>0</v>
      </c>
      <c r="E605" s="192">
        <v>18500</v>
      </c>
      <c r="F605" s="193">
        <f t="shared" ref="F605:F653" si="36">+ROUND(E605-H605*F$1,-1)</f>
        <v>15170</v>
      </c>
      <c r="G605" s="194">
        <f t="shared" ref="G605:G653" si="37">+ROUND(E605-E605*G$1,-1)</f>
        <v>15730</v>
      </c>
      <c r="H605" s="195">
        <f t="shared" ref="H605:H653" si="38">+ROUND(E605-E605*H$1,-1)</f>
        <v>16650</v>
      </c>
      <c r="I605" s="192">
        <f t="shared" ref="I605:I653" si="39">+ROUND(E605-E605*I$1,-1)</f>
        <v>17580</v>
      </c>
      <c r="J605" s="196"/>
      <c r="K605" s="196"/>
      <c r="L605" s="198" t="str">
        <f>IFERROR(VLOOKUP(#REF!,'[3]0-LPM'!$A$6:$D$10668,4,0),"")</f>
        <v/>
      </c>
      <c r="M605" s="188"/>
      <c r="N605" s="198">
        <f>IFERROR(VLOOKUP(A605,'[3]0-LPM'!$A$6:$D$10668,4,0),"")</f>
        <v>1200.1366666666668</v>
      </c>
      <c r="O605" s="200"/>
    </row>
    <row r="606" spans="1:15" ht="12.2" customHeight="1" x14ac:dyDescent="0.25">
      <c r="A606" s="189" t="s">
        <v>1219</v>
      </c>
      <c r="B606" s="190" t="s">
        <v>1151</v>
      </c>
      <c r="C606" s="200" t="s">
        <v>1220</v>
      </c>
      <c r="D606" s="191">
        <v>0</v>
      </c>
      <c r="E606" s="192">
        <v>14000</v>
      </c>
      <c r="F606" s="193">
        <f t="shared" si="36"/>
        <v>11480</v>
      </c>
      <c r="G606" s="194">
        <f t="shared" si="37"/>
        <v>11900</v>
      </c>
      <c r="H606" s="195">
        <f t="shared" si="38"/>
        <v>12600</v>
      </c>
      <c r="I606" s="192">
        <f t="shared" si="39"/>
        <v>13300</v>
      </c>
      <c r="J606" s="196"/>
      <c r="K606" s="196"/>
      <c r="L606" s="198" t="str">
        <f>IFERROR(VLOOKUP(#REF!,'[3]0-LPM'!$A$6:$D$10668,4,0),"")</f>
        <v/>
      </c>
      <c r="M606" s="188"/>
      <c r="N606" s="198">
        <f>IFERROR(VLOOKUP(A606,'[3]0-LPM'!$A$6:$D$10668,4,0),"")</f>
        <v>576.54773333333321</v>
      </c>
      <c r="O606" s="200"/>
    </row>
    <row r="607" spans="1:15" ht="12.2" customHeight="1" x14ac:dyDescent="0.25">
      <c r="A607" s="199" t="s">
        <v>1221</v>
      </c>
      <c r="B607" s="190" t="s">
        <v>1151</v>
      </c>
      <c r="C607" s="190" t="s">
        <v>1222</v>
      </c>
      <c r="D607" s="191">
        <v>0</v>
      </c>
      <c r="E607" s="192">
        <v>24000</v>
      </c>
      <c r="F607" s="193">
        <f t="shared" si="36"/>
        <v>19680</v>
      </c>
      <c r="G607" s="194">
        <f t="shared" si="37"/>
        <v>20400</v>
      </c>
      <c r="H607" s="195">
        <f t="shared" si="38"/>
        <v>21600</v>
      </c>
      <c r="I607" s="192">
        <f t="shared" si="39"/>
        <v>22800</v>
      </c>
      <c r="J607" s="196"/>
      <c r="K607" s="196"/>
      <c r="L607" s="198" t="str">
        <f>IFERROR(VLOOKUP(#REF!,'[3]0-LPM'!$A$6:$D$10668,4,0),"")</f>
        <v/>
      </c>
      <c r="M607" s="188"/>
      <c r="N607" s="198">
        <f>IFERROR(VLOOKUP(A607,'[3]0-LPM'!$A$6:$D$10668,4,0),"")</f>
        <v>1326.0574499999998</v>
      </c>
      <c r="O607" s="190"/>
    </row>
    <row r="608" spans="1:15" ht="12.2" customHeight="1" x14ac:dyDescent="0.25">
      <c r="A608" s="189" t="s">
        <v>1223</v>
      </c>
      <c r="B608" s="190" t="s">
        <v>1151</v>
      </c>
      <c r="C608" s="200" t="s">
        <v>1224</v>
      </c>
      <c r="D608" s="191">
        <v>0</v>
      </c>
      <c r="E608" s="192">
        <v>20900</v>
      </c>
      <c r="F608" s="193">
        <f t="shared" si="36"/>
        <v>17140</v>
      </c>
      <c r="G608" s="194">
        <f t="shared" si="37"/>
        <v>17770</v>
      </c>
      <c r="H608" s="195">
        <f t="shared" si="38"/>
        <v>18810</v>
      </c>
      <c r="I608" s="192">
        <f t="shared" si="39"/>
        <v>19860</v>
      </c>
      <c r="J608" s="196"/>
      <c r="K608" s="196"/>
      <c r="L608" s="198" t="str">
        <f>IFERROR(VLOOKUP(#REF!,'[3]0-LPM'!$A$6:$D$10668,4,0),"")</f>
        <v/>
      </c>
      <c r="M608" s="188"/>
      <c r="N608" s="198">
        <f>IFERROR(VLOOKUP(A608,'[3]0-LPM'!$A$6:$D$10668,4,0),"")</f>
        <v>752.01878260869557</v>
      </c>
      <c r="O608" s="200"/>
    </row>
    <row r="609" spans="1:15" ht="12.2" customHeight="1" x14ac:dyDescent="0.25">
      <c r="A609" s="189" t="s">
        <v>1225</v>
      </c>
      <c r="B609" s="190" t="s">
        <v>1151</v>
      </c>
      <c r="C609" s="190" t="s">
        <v>1226</v>
      </c>
      <c r="D609" s="191">
        <v>0</v>
      </c>
      <c r="E609" s="192">
        <v>18000</v>
      </c>
      <c r="F609" s="193">
        <f t="shared" si="36"/>
        <v>14760</v>
      </c>
      <c r="G609" s="194">
        <f t="shared" si="37"/>
        <v>15300</v>
      </c>
      <c r="H609" s="195">
        <f t="shared" si="38"/>
        <v>16200</v>
      </c>
      <c r="I609" s="192">
        <f t="shared" si="39"/>
        <v>17100</v>
      </c>
      <c r="J609" s="196"/>
      <c r="K609" s="196"/>
      <c r="L609" s="198" t="str">
        <f>IFERROR(VLOOKUP(#REF!,'[3]0-LPM'!$A$6:$D$10668,4,0),"")</f>
        <v/>
      </c>
      <c r="M609" s="188"/>
      <c r="N609" s="198">
        <f>IFERROR(VLOOKUP(A609,'[3]0-LPM'!$A$6:$D$10668,4,0),"")</f>
        <v>2486.5494666666664</v>
      </c>
      <c r="O609" s="190"/>
    </row>
    <row r="610" spans="1:15" ht="12.2" customHeight="1" x14ac:dyDescent="0.25">
      <c r="A610" s="199" t="s">
        <v>1227</v>
      </c>
      <c r="B610" s="190" t="s">
        <v>1151</v>
      </c>
      <c r="C610" s="190" t="s">
        <v>1228</v>
      </c>
      <c r="D610" s="191">
        <v>0</v>
      </c>
      <c r="E610" s="192">
        <v>18000</v>
      </c>
      <c r="F610" s="193">
        <f t="shared" si="36"/>
        <v>14760</v>
      </c>
      <c r="G610" s="194">
        <f t="shared" si="37"/>
        <v>15300</v>
      </c>
      <c r="H610" s="195">
        <f t="shared" si="38"/>
        <v>16200</v>
      </c>
      <c r="I610" s="192">
        <f t="shared" si="39"/>
        <v>17100</v>
      </c>
      <c r="J610" s="196"/>
      <c r="K610" s="196"/>
      <c r="L610" s="198" t="str">
        <f>IFERROR(VLOOKUP(#REF!,'[3]0-LPM'!$A$6:$D$10668,4,0),"")</f>
        <v/>
      </c>
      <c r="M610" s="188"/>
      <c r="N610" s="198">
        <f>IFERROR(VLOOKUP(A610,'[3]0-LPM'!$A$6:$D$10668,4,0),"")</f>
        <v>2486.5494666666664</v>
      </c>
      <c r="O610" s="190"/>
    </row>
    <row r="611" spans="1:15" ht="12.2" customHeight="1" x14ac:dyDescent="0.25">
      <c r="A611" s="189" t="s">
        <v>1229</v>
      </c>
      <c r="B611" s="190" t="s">
        <v>1151</v>
      </c>
      <c r="C611" s="190" t="s">
        <v>1230</v>
      </c>
      <c r="D611" s="191">
        <v>0</v>
      </c>
      <c r="E611" s="192">
        <v>16000</v>
      </c>
      <c r="F611" s="193">
        <f t="shared" si="36"/>
        <v>13120</v>
      </c>
      <c r="G611" s="194">
        <f t="shared" si="37"/>
        <v>13600</v>
      </c>
      <c r="H611" s="195">
        <f t="shared" si="38"/>
        <v>14400</v>
      </c>
      <c r="I611" s="192">
        <f t="shared" si="39"/>
        <v>15200</v>
      </c>
      <c r="J611" s="196"/>
      <c r="K611" s="196"/>
      <c r="L611" s="198" t="str">
        <f>IFERROR(VLOOKUP(#REF!,'[3]0-LPM'!$A$6:$D$10668,4,0),"")</f>
        <v/>
      </c>
      <c r="M611" s="188"/>
      <c r="N611" s="198">
        <f>IFERROR(VLOOKUP(A611,'[3]0-LPM'!$A$6:$D$10668,4,0),"")</f>
        <v>0</v>
      </c>
      <c r="O611" s="190"/>
    </row>
    <row r="612" spans="1:15" ht="12.2" customHeight="1" x14ac:dyDescent="0.25">
      <c r="A612" s="189" t="s">
        <v>1231</v>
      </c>
      <c r="B612" s="190" t="s">
        <v>1151</v>
      </c>
      <c r="C612" s="190" t="s">
        <v>1232</v>
      </c>
      <c r="D612" s="191">
        <v>0</v>
      </c>
      <c r="E612" s="192">
        <v>20000</v>
      </c>
      <c r="F612" s="193">
        <f t="shared" si="36"/>
        <v>16400</v>
      </c>
      <c r="G612" s="194">
        <f t="shared" si="37"/>
        <v>17000</v>
      </c>
      <c r="H612" s="195">
        <f t="shared" si="38"/>
        <v>18000</v>
      </c>
      <c r="I612" s="192">
        <f t="shared" si="39"/>
        <v>19000</v>
      </c>
      <c r="J612" s="196"/>
      <c r="K612" s="196"/>
      <c r="L612" s="198" t="str">
        <f>IFERROR(VLOOKUP(#REF!,'[3]0-LPM'!$A$6:$D$10668,4,0),"")</f>
        <v/>
      </c>
      <c r="M612" s="188"/>
      <c r="N612" s="198">
        <f>IFERROR(VLOOKUP(A612,'[3]0-LPM'!$A$6:$D$10668,4,0),"")</f>
        <v>2376.1401249999999</v>
      </c>
      <c r="O612" s="190"/>
    </row>
    <row r="613" spans="1:15" ht="12.2" customHeight="1" x14ac:dyDescent="0.25">
      <c r="A613" s="189" t="s">
        <v>1233</v>
      </c>
      <c r="B613" s="190" t="s">
        <v>1151</v>
      </c>
      <c r="C613" s="190" t="s">
        <v>1234</v>
      </c>
      <c r="D613" s="191">
        <v>0</v>
      </c>
      <c r="E613" s="192">
        <v>12000</v>
      </c>
      <c r="F613" s="193">
        <f t="shared" si="36"/>
        <v>9840</v>
      </c>
      <c r="G613" s="194">
        <f t="shared" si="37"/>
        <v>10200</v>
      </c>
      <c r="H613" s="195">
        <f t="shared" si="38"/>
        <v>10800</v>
      </c>
      <c r="I613" s="192">
        <f t="shared" si="39"/>
        <v>11400</v>
      </c>
      <c r="J613" s="196"/>
      <c r="K613" s="196"/>
      <c r="L613" s="198" t="str">
        <f>IFERROR(VLOOKUP(#REF!,'[3]0-LPM'!$A$6:$D$10668,4,0),"")</f>
        <v/>
      </c>
      <c r="M613" s="188"/>
      <c r="N613" s="198">
        <f>IFERROR(VLOOKUP(A613,'[3]0-LPM'!$A$6:$D$10668,4,0),"")</f>
        <v>5159.1733333333332</v>
      </c>
      <c r="O613" s="190"/>
    </row>
    <row r="614" spans="1:15" ht="12.2" customHeight="1" x14ac:dyDescent="0.25">
      <c r="A614" s="189" t="s">
        <v>38</v>
      </c>
      <c r="B614" s="190" t="s">
        <v>1151</v>
      </c>
      <c r="C614" s="190" t="s">
        <v>1235</v>
      </c>
      <c r="D614" s="191">
        <v>0</v>
      </c>
      <c r="E614" s="192">
        <v>16000</v>
      </c>
      <c r="F614" s="193">
        <f t="shared" si="36"/>
        <v>13120</v>
      </c>
      <c r="G614" s="194">
        <f t="shared" si="37"/>
        <v>13600</v>
      </c>
      <c r="H614" s="195">
        <f t="shared" si="38"/>
        <v>14400</v>
      </c>
      <c r="I614" s="192">
        <f t="shared" si="39"/>
        <v>15200</v>
      </c>
      <c r="J614" s="196"/>
      <c r="K614" s="196"/>
      <c r="L614" s="198" t="str">
        <f>IFERROR(VLOOKUP(#REF!,'[3]0-LPM'!$A$6:$D$10668,4,0),"")</f>
        <v/>
      </c>
      <c r="M614" s="188"/>
      <c r="N614" s="198">
        <f>IFERROR(VLOOKUP(A614,'[3]0-LPM'!$A$6:$D$10668,4,0),"")</f>
        <v>2069.48405</v>
      </c>
      <c r="O614" s="190"/>
    </row>
    <row r="615" spans="1:15" ht="12.2" customHeight="1" x14ac:dyDescent="0.25">
      <c r="A615" s="189" t="s">
        <v>1236</v>
      </c>
      <c r="B615" s="190" t="s">
        <v>1151</v>
      </c>
      <c r="C615" s="190" t="s">
        <v>1237</v>
      </c>
      <c r="D615" s="191">
        <v>0</v>
      </c>
      <c r="E615" s="192">
        <v>14900</v>
      </c>
      <c r="F615" s="193">
        <f t="shared" si="36"/>
        <v>12220</v>
      </c>
      <c r="G615" s="194">
        <f t="shared" si="37"/>
        <v>12670</v>
      </c>
      <c r="H615" s="195">
        <f t="shared" si="38"/>
        <v>13410</v>
      </c>
      <c r="I615" s="192">
        <f t="shared" si="39"/>
        <v>14160</v>
      </c>
      <c r="J615" s="196"/>
      <c r="K615" s="196"/>
      <c r="L615" s="198" t="str">
        <f>IFERROR(VLOOKUP(#REF!,'[3]0-LPM'!$A$6:$D$10668,4,0),"")</f>
        <v/>
      </c>
      <c r="M615" s="188"/>
      <c r="N615" s="198">
        <f>IFERROR(VLOOKUP(A615,'[3]0-LPM'!$A$6:$D$10668,4,0),"")</f>
        <v>0</v>
      </c>
      <c r="O615" s="190"/>
    </row>
    <row r="616" spans="1:15" ht="12.2" customHeight="1" x14ac:dyDescent="0.25">
      <c r="A616" s="189" t="s">
        <v>1238</v>
      </c>
      <c r="B616" s="190" t="s">
        <v>1151</v>
      </c>
      <c r="C616" s="190" t="s">
        <v>1239</v>
      </c>
      <c r="D616" s="191">
        <v>0</v>
      </c>
      <c r="E616" s="192">
        <v>11600</v>
      </c>
      <c r="F616" s="193">
        <f t="shared" si="36"/>
        <v>9510</v>
      </c>
      <c r="G616" s="194">
        <f t="shared" si="37"/>
        <v>9860</v>
      </c>
      <c r="H616" s="195">
        <f t="shared" si="38"/>
        <v>10440</v>
      </c>
      <c r="I616" s="192">
        <f t="shared" si="39"/>
        <v>11020</v>
      </c>
      <c r="J616" s="196"/>
      <c r="K616" s="196"/>
      <c r="L616" s="198" t="str">
        <f>IFERROR(VLOOKUP(#REF!,'[3]0-LPM'!$A$6:$D$10668,4,0),"")</f>
        <v/>
      </c>
      <c r="M616" s="188"/>
      <c r="N616" s="198">
        <f>IFERROR(VLOOKUP(A616,'[3]0-LPM'!$A$6:$D$10668,4,0),"")</f>
        <v>1011.24198</v>
      </c>
      <c r="O616" s="190"/>
    </row>
    <row r="617" spans="1:15" ht="12.2" customHeight="1" x14ac:dyDescent="0.25">
      <c r="A617" s="189" t="s">
        <v>1240</v>
      </c>
      <c r="B617" s="190" t="s">
        <v>1151</v>
      </c>
      <c r="C617" s="190" t="s">
        <v>1241</v>
      </c>
      <c r="D617" s="191">
        <v>0</v>
      </c>
      <c r="E617" s="192">
        <v>14900</v>
      </c>
      <c r="F617" s="193">
        <f t="shared" si="36"/>
        <v>12220</v>
      </c>
      <c r="G617" s="194">
        <f t="shared" si="37"/>
        <v>12670</v>
      </c>
      <c r="H617" s="195">
        <f t="shared" si="38"/>
        <v>13410</v>
      </c>
      <c r="I617" s="192">
        <f t="shared" si="39"/>
        <v>14160</v>
      </c>
      <c r="J617" s="196"/>
      <c r="K617" s="196"/>
      <c r="L617" s="198" t="str">
        <f>IFERROR(VLOOKUP(#REF!,'[3]0-LPM'!$A$6:$D$10668,4,0),"")</f>
        <v/>
      </c>
      <c r="M617" s="188"/>
      <c r="N617" s="198">
        <f>IFERROR(VLOOKUP(A617,'[3]0-LPM'!$A$6:$D$10668,4,0),"")</f>
        <v>3223.3698571428567</v>
      </c>
      <c r="O617" s="190"/>
    </row>
    <row r="618" spans="1:15" ht="12.2" customHeight="1" x14ac:dyDescent="0.25">
      <c r="A618" s="189" t="s">
        <v>1242</v>
      </c>
      <c r="B618" s="190" t="s">
        <v>1151</v>
      </c>
      <c r="C618" s="190" t="s">
        <v>1243</v>
      </c>
      <c r="D618" s="191">
        <v>0</v>
      </c>
      <c r="E618" s="192">
        <v>19000</v>
      </c>
      <c r="F618" s="193">
        <f t="shared" si="36"/>
        <v>15580</v>
      </c>
      <c r="G618" s="194">
        <f t="shared" si="37"/>
        <v>16150</v>
      </c>
      <c r="H618" s="195">
        <f t="shared" si="38"/>
        <v>17100</v>
      </c>
      <c r="I618" s="192">
        <f t="shared" si="39"/>
        <v>18050</v>
      </c>
      <c r="J618" s="196"/>
      <c r="K618" s="196"/>
      <c r="L618" s="198" t="str">
        <f>IFERROR(VLOOKUP(#REF!,'[3]0-LPM'!$A$6:$D$10668,4,0),"")</f>
        <v/>
      </c>
      <c r="M618" s="188"/>
      <c r="N618" s="198">
        <f>IFERROR(VLOOKUP(A618,'[3]0-LPM'!$A$6:$D$10668,4,0),"")</f>
        <v>1551.3092999999999</v>
      </c>
      <c r="O618" s="190"/>
    </row>
    <row r="619" spans="1:15" ht="12.2" customHeight="1" x14ac:dyDescent="0.25">
      <c r="A619" s="189" t="s">
        <v>1244</v>
      </c>
      <c r="B619" s="190" t="s">
        <v>1151</v>
      </c>
      <c r="C619" s="190" t="s">
        <v>1245</v>
      </c>
      <c r="D619" s="191">
        <v>0</v>
      </c>
      <c r="E619" s="192">
        <v>30000</v>
      </c>
      <c r="F619" s="193">
        <f t="shared" si="36"/>
        <v>24600</v>
      </c>
      <c r="G619" s="194">
        <f t="shared" si="37"/>
        <v>25500</v>
      </c>
      <c r="H619" s="195">
        <f t="shared" si="38"/>
        <v>27000</v>
      </c>
      <c r="I619" s="192">
        <f t="shared" si="39"/>
        <v>28500</v>
      </c>
      <c r="J619" s="196"/>
      <c r="K619" s="196"/>
      <c r="L619" s="198" t="str">
        <f>IFERROR(VLOOKUP(#REF!,'[3]0-LPM'!$A$6:$D$10668,4,0),"")</f>
        <v/>
      </c>
      <c r="M619" s="188"/>
      <c r="N619" s="198">
        <f>IFERROR(VLOOKUP(A619,'[3]0-LPM'!$A$6:$D$10668,4,0),"")</f>
        <v>6270.0685502645501</v>
      </c>
      <c r="O619" s="190"/>
    </row>
    <row r="620" spans="1:15" ht="12.2" customHeight="1" x14ac:dyDescent="0.25">
      <c r="A620" s="189" t="s">
        <v>1246</v>
      </c>
      <c r="B620" s="190" t="s">
        <v>1151</v>
      </c>
      <c r="C620" s="190" t="s">
        <v>1247</v>
      </c>
      <c r="D620" s="191">
        <v>0</v>
      </c>
      <c r="E620" s="192">
        <v>18000</v>
      </c>
      <c r="F620" s="193">
        <f t="shared" si="36"/>
        <v>14760</v>
      </c>
      <c r="G620" s="194">
        <f t="shared" si="37"/>
        <v>15300</v>
      </c>
      <c r="H620" s="195">
        <f t="shared" si="38"/>
        <v>16200</v>
      </c>
      <c r="I620" s="192">
        <f t="shared" si="39"/>
        <v>17100</v>
      </c>
      <c r="J620" s="196"/>
      <c r="K620" s="196"/>
      <c r="L620" s="198" t="str">
        <f>IFERROR(VLOOKUP(#REF!,'[3]0-LPM'!$A$6:$D$10668,4,0),"")</f>
        <v/>
      </c>
      <c r="M620" s="188"/>
      <c r="N620" s="198">
        <f>IFERROR(VLOOKUP(A620,'[3]0-LPM'!$A$6:$D$10668,4,0),"")</f>
        <v>2486.5494666666664</v>
      </c>
      <c r="O620" s="190"/>
    </row>
    <row r="621" spans="1:15" ht="12.2" customHeight="1" x14ac:dyDescent="0.25">
      <c r="A621" s="189" t="s">
        <v>1248</v>
      </c>
      <c r="B621" s="190" t="s">
        <v>1151</v>
      </c>
      <c r="C621" s="190" t="s">
        <v>1249</v>
      </c>
      <c r="D621" s="191">
        <v>0</v>
      </c>
      <c r="E621" s="192">
        <v>7900</v>
      </c>
      <c r="F621" s="193">
        <f t="shared" si="36"/>
        <v>6480</v>
      </c>
      <c r="G621" s="194">
        <f t="shared" si="37"/>
        <v>6720</v>
      </c>
      <c r="H621" s="195">
        <f t="shared" si="38"/>
        <v>7110</v>
      </c>
      <c r="I621" s="192">
        <f t="shared" si="39"/>
        <v>7510</v>
      </c>
      <c r="J621" s="196"/>
      <c r="K621" s="196"/>
      <c r="L621" s="198" t="str">
        <f>IFERROR(VLOOKUP(#REF!,'[3]0-LPM'!$A$6:$D$10668,4,0),"")</f>
        <v/>
      </c>
      <c r="M621" s="188"/>
      <c r="N621" s="198">
        <f>IFERROR(VLOOKUP(A621,'[3]0-LPM'!$A$6:$D$10668,4,0),"")</f>
        <v>1921.2936666666669</v>
      </c>
      <c r="O621" s="190"/>
    </row>
    <row r="622" spans="1:15" ht="12.2" customHeight="1" x14ac:dyDescent="0.25">
      <c r="A622" s="189" t="s">
        <v>1250</v>
      </c>
      <c r="B622" s="190" t="s">
        <v>1151</v>
      </c>
      <c r="C622" s="190" t="s">
        <v>1251</v>
      </c>
      <c r="D622" s="191">
        <v>0</v>
      </c>
      <c r="E622" s="192">
        <v>18000</v>
      </c>
      <c r="F622" s="193">
        <f t="shared" si="36"/>
        <v>14760</v>
      </c>
      <c r="G622" s="194">
        <f t="shared" si="37"/>
        <v>15300</v>
      </c>
      <c r="H622" s="195">
        <f t="shared" si="38"/>
        <v>16200</v>
      </c>
      <c r="I622" s="192">
        <f t="shared" si="39"/>
        <v>17100</v>
      </c>
      <c r="J622" s="196"/>
      <c r="K622" s="196"/>
      <c r="L622" s="198" t="str">
        <f>IFERROR(VLOOKUP(#REF!,'[3]0-LPM'!$A$6:$D$10668,4,0),"")</f>
        <v/>
      </c>
      <c r="M622" s="188"/>
      <c r="N622" s="198">
        <f>IFERROR(VLOOKUP(A622,'[3]0-LPM'!$A$6:$D$10668,4,0),"")</f>
        <v>3125.2219999999998</v>
      </c>
      <c r="O622" s="190"/>
    </row>
    <row r="623" spans="1:15" ht="12.2" customHeight="1" x14ac:dyDescent="0.25">
      <c r="A623" s="189" t="s">
        <v>1252</v>
      </c>
      <c r="B623" s="190" t="s">
        <v>1151</v>
      </c>
      <c r="C623" s="190" t="s">
        <v>1253</v>
      </c>
      <c r="D623" s="191">
        <v>0</v>
      </c>
      <c r="E623" s="192">
        <v>20900</v>
      </c>
      <c r="F623" s="193">
        <f t="shared" si="36"/>
        <v>17140</v>
      </c>
      <c r="G623" s="194">
        <f t="shared" si="37"/>
        <v>17770</v>
      </c>
      <c r="H623" s="195">
        <f t="shared" si="38"/>
        <v>18810</v>
      </c>
      <c r="I623" s="192">
        <f t="shared" si="39"/>
        <v>19860</v>
      </c>
      <c r="J623" s="196"/>
      <c r="K623" s="196"/>
      <c r="L623" s="198" t="str">
        <f>IFERROR(VLOOKUP(#REF!,'[3]0-LPM'!$A$6:$D$10668,4,0),"")</f>
        <v/>
      </c>
      <c r="M623" s="188"/>
      <c r="N623" s="198">
        <f>IFERROR(VLOOKUP(A623,'[3]0-LPM'!$A$6:$D$10668,4,0),"")</f>
        <v>1794.7109333333331</v>
      </c>
      <c r="O623" s="190"/>
    </row>
    <row r="624" spans="1:15" ht="12.2" customHeight="1" x14ac:dyDescent="0.25">
      <c r="A624" s="189" t="s">
        <v>1254</v>
      </c>
      <c r="B624" s="190" t="s">
        <v>1151</v>
      </c>
      <c r="C624" s="200" t="s">
        <v>1255</v>
      </c>
      <c r="D624" s="191">
        <v>0</v>
      </c>
      <c r="E624" s="192">
        <v>22300</v>
      </c>
      <c r="F624" s="193">
        <f t="shared" si="36"/>
        <v>18290</v>
      </c>
      <c r="G624" s="194">
        <f t="shared" si="37"/>
        <v>18960</v>
      </c>
      <c r="H624" s="195">
        <f t="shared" si="38"/>
        <v>20070</v>
      </c>
      <c r="I624" s="192">
        <f t="shared" si="39"/>
        <v>21190</v>
      </c>
      <c r="J624" s="196"/>
      <c r="K624" s="196"/>
      <c r="L624" s="198" t="str">
        <f>IFERROR(VLOOKUP(#REF!,'[3]0-LPM'!$A$6:$D$10668,4,0),"")</f>
        <v/>
      </c>
      <c r="M624" s="188"/>
      <c r="N624" s="198">
        <f>IFERROR(VLOOKUP(A624,'[3]0-LPM'!$A$6:$D$10668,4,0),"")</f>
        <v>3416.6936496296294</v>
      </c>
      <c r="O624" s="200"/>
    </row>
    <row r="625" spans="1:15" ht="12.2" customHeight="1" x14ac:dyDescent="0.25">
      <c r="A625" s="189" t="s">
        <v>1256</v>
      </c>
      <c r="B625" s="190" t="s">
        <v>1151</v>
      </c>
      <c r="C625" s="190" t="s">
        <v>1257</v>
      </c>
      <c r="D625" s="191">
        <v>0</v>
      </c>
      <c r="E625" s="192">
        <v>14700</v>
      </c>
      <c r="F625" s="193">
        <f t="shared" si="36"/>
        <v>12050</v>
      </c>
      <c r="G625" s="194">
        <f t="shared" si="37"/>
        <v>12500</v>
      </c>
      <c r="H625" s="195">
        <f t="shared" si="38"/>
        <v>13230</v>
      </c>
      <c r="I625" s="192">
        <f t="shared" si="39"/>
        <v>13970</v>
      </c>
      <c r="J625" s="196"/>
      <c r="K625" s="196"/>
      <c r="L625" s="198" t="str">
        <f>IFERROR(VLOOKUP(#REF!,'[3]0-LPM'!$A$6:$D$10668,4,0),"")</f>
        <v/>
      </c>
      <c r="M625" s="188"/>
      <c r="N625" s="198">
        <f>IFERROR(VLOOKUP(A625,'[3]0-LPM'!$A$6:$D$10668,4,0),"")</f>
        <v>5406.9065777777778</v>
      </c>
      <c r="O625" s="190"/>
    </row>
    <row r="626" spans="1:15" ht="12.2" customHeight="1" x14ac:dyDescent="0.25">
      <c r="A626" s="189" t="s">
        <v>1258</v>
      </c>
      <c r="B626" s="190" t="s">
        <v>1151</v>
      </c>
      <c r="C626" s="190" t="s">
        <v>1259</v>
      </c>
      <c r="D626" s="191">
        <v>0</v>
      </c>
      <c r="E626" s="192">
        <v>16100</v>
      </c>
      <c r="F626" s="193">
        <f t="shared" si="36"/>
        <v>13200</v>
      </c>
      <c r="G626" s="194">
        <f t="shared" si="37"/>
        <v>13690</v>
      </c>
      <c r="H626" s="195">
        <f t="shared" si="38"/>
        <v>14490</v>
      </c>
      <c r="I626" s="192">
        <f t="shared" si="39"/>
        <v>15300</v>
      </c>
      <c r="J626" s="196"/>
      <c r="K626" s="196"/>
      <c r="L626" s="198" t="str">
        <f>IFERROR(VLOOKUP(#REF!,'[3]0-LPM'!$A$6:$D$10668,4,0),"")</f>
        <v/>
      </c>
      <c r="M626" s="188"/>
      <c r="N626" s="198">
        <f>IFERROR(VLOOKUP(A626,'[3]0-LPM'!$A$6:$D$10668,4,0),"")</f>
        <v>5406.9065777777778</v>
      </c>
      <c r="O626" s="190"/>
    </row>
    <row r="627" spans="1:15" ht="12.2" customHeight="1" x14ac:dyDescent="0.25">
      <c r="A627" s="189" t="s">
        <v>1260</v>
      </c>
      <c r="B627" s="190" t="s">
        <v>1151</v>
      </c>
      <c r="C627" s="190" t="s">
        <v>1261</v>
      </c>
      <c r="D627" s="191">
        <v>0</v>
      </c>
      <c r="E627" s="192">
        <v>7700</v>
      </c>
      <c r="F627" s="193">
        <f t="shared" si="36"/>
        <v>6310</v>
      </c>
      <c r="G627" s="194">
        <f t="shared" si="37"/>
        <v>6550</v>
      </c>
      <c r="H627" s="195">
        <f t="shared" si="38"/>
        <v>6930</v>
      </c>
      <c r="I627" s="192">
        <f t="shared" si="39"/>
        <v>7320</v>
      </c>
      <c r="J627" s="196"/>
      <c r="K627" s="196"/>
      <c r="L627" s="198" t="str">
        <f>IFERROR(VLOOKUP(#REF!,'[3]0-LPM'!$A$6:$D$10668,4,0),"")</f>
        <v/>
      </c>
      <c r="M627" s="188"/>
      <c r="N627" s="198" t="str">
        <f>IFERROR(VLOOKUP(A627,'[3]0-LPM'!$A$6:$D$10668,4,0),"")</f>
        <v/>
      </c>
      <c r="O627" s="190"/>
    </row>
    <row r="628" spans="1:15" ht="12.2" customHeight="1" x14ac:dyDescent="0.25">
      <c r="A628" s="189" t="s">
        <v>1262</v>
      </c>
      <c r="B628" s="190" t="s">
        <v>1151</v>
      </c>
      <c r="C628" s="190" t="s">
        <v>1263</v>
      </c>
      <c r="D628" s="191">
        <v>0</v>
      </c>
      <c r="E628" s="192">
        <v>25000</v>
      </c>
      <c r="F628" s="193">
        <f t="shared" si="36"/>
        <v>20500</v>
      </c>
      <c r="G628" s="194">
        <f t="shared" si="37"/>
        <v>21250</v>
      </c>
      <c r="H628" s="195">
        <f t="shared" si="38"/>
        <v>22500</v>
      </c>
      <c r="I628" s="192">
        <f t="shared" si="39"/>
        <v>23750</v>
      </c>
      <c r="J628" s="196"/>
      <c r="K628" s="196"/>
      <c r="L628" s="198" t="str">
        <f>IFERROR(VLOOKUP(#REF!,'[3]0-LPM'!$A$6:$D$10668,4,0),"")</f>
        <v/>
      </c>
      <c r="M628" s="188"/>
      <c r="N628" s="198" t="str">
        <f>IFERROR(VLOOKUP(A628,'[3]0-LPM'!$A$6:$D$10668,4,0),"")</f>
        <v/>
      </c>
      <c r="O628" s="190"/>
    </row>
    <row r="629" spans="1:15" ht="12.2" customHeight="1" x14ac:dyDescent="0.25">
      <c r="A629" s="189" t="s">
        <v>37</v>
      </c>
      <c r="B629" s="190" t="s">
        <v>1151</v>
      </c>
      <c r="C629" s="190" t="s">
        <v>1264</v>
      </c>
      <c r="D629" s="191">
        <v>0</v>
      </c>
      <c r="E629" s="192">
        <v>14000</v>
      </c>
      <c r="F629" s="193">
        <f t="shared" si="36"/>
        <v>11480</v>
      </c>
      <c r="G629" s="194">
        <f t="shared" si="37"/>
        <v>11900</v>
      </c>
      <c r="H629" s="195">
        <f t="shared" si="38"/>
        <v>12600</v>
      </c>
      <c r="I629" s="192">
        <f t="shared" si="39"/>
        <v>13300</v>
      </c>
      <c r="J629" s="196"/>
      <c r="K629" s="196"/>
      <c r="L629" s="198" t="str">
        <f>IFERROR(VLOOKUP(#REF!,'[3]0-LPM'!$A$6:$D$10668,4,0),"")</f>
        <v/>
      </c>
      <c r="M629" s="188"/>
      <c r="N629" s="198" t="str">
        <f>IFERROR(VLOOKUP(A629,'[3]0-LPM'!$A$6:$D$10668,4,0),"")</f>
        <v/>
      </c>
      <c r="O629" s="190"/>
    </row>
    <row r="630" spans="1:15" ht="12.2" customHeight="1" x14ac:dyDescent="0.25">
      <c r="A630" s="189" t="s">
        <v>1265</v>
      </c>
      <c r="B630" s="190" t="s">
        <v>1151</v>
      </c>
      <c r="C630" s="190" t="s">
        <v>1266</v>
      </c>
      <c r="D630" s="191">
        <v>0</v>
      </c>
      <c r="E630" s="192">
        <v>24000</v>
      </c>
      <c r="F630" s="193">
        <f t="shared" si="36"/>
        <v>19680</v>
      </c>
      <c r="G630" s="194">
        <f t="shared" si="37"/>
        <v>20400</v>
      </c>
      <c r="H630" s="195">
        <f t="shared" si="38"/>
        <v>21600</v>
      </c>
      <c r="I630" s="192">
        <f t="shared" si="39"/>
        <v>22800</v>
      </c>
      <c r="J630" s="196"/>
      <c r="K630" s="196"/>
      <c r="L630" s="198" t="str">
        <f>IFERROR(VLOOKUP(#REF!,'[3]0-LPM'!$A$6:$D$10668,4,0),"")</f>
        <v/>
      </c>
      <c r="M630" s="188"/>
      <c r="N630" s="198" t="str">
        <f>IFERROR(VLOOKUP(A630,'[3]0-LPM'!$A$6:$D$10668,4,0),"")</f>
        <v/>
      </c>
      <c r="O630" s="190"/>
    </row>
    <row r="631" spans="1:15" ht="12.2" customHeight="1" x14ac:dyDescent="0.25">
      <c r="A631" s="189" t="s">
        <v>1267</v>
      </c>
      <c r="B631" s="190" t="s">
        <v>1151</v>
      </c>
      <c r="C631" s="190" t="s">
        <v>1268</v>
      </c>
      <c r="D631" s="191">
        <v>0</v>
      </c>
      <c r="E631" s="192">
        <v>25000</v>
      </c>
      <c r="F631" s="193">
        <f t="shared" si="36"/>
        <v>20500</v>
      </c>
      <c r="G631" s="194">
        <f t="shared" si="37"/>
        <v>21250</v>
      </c>
      <c r="H631" s="195">
        <f t="shared" si="38"/>
        <v>22500</v>
      </c>
      <c r="I631" s="192">
        <f t="shared" si="39"/>
        <v>23750</v>
      </c>
      <c r="J631" s="196"/>
      <c r="K631" s="196"/>
      <c r="L631" s="198" t="str">
        <f>IFERROR(VLOOKUP(#REF!,'[3]0-LPM'!$A$6:$D$10668,4,0),"")</f>
        <v/>
      </c>
      <c r="M631" s="188"/>
      <c r="N631" s="198" t="str">
        <f>IFERROR(VLOOKUP(A631,'[3]0-LPM'!$A$6:$D$10668,4,0),"")</f>
        <v/>
      </c>
      <c r="O631" s="190"/>
    </row>
    <row r="632" spans="1:15" ht="12.2" customHeight="1" x14ac:dyDescent="0.25">
      <c r="A632" s="189" t="s">
        <v>1269</v>
      </c>
      <c r="B632" s="190" t="s">
        <v>1151</v>
      </c>
      <c r="C632" s="190" t="s">
        <v>1270</v>
      </c>
      <c r="D632" s="191">
        <v>0</v>
      </c>
      <c r="E632" s="192">
        <v>22000</v>
      </c>
      <c r="F632" s="193">
        <f t="shared" si="36"/>
        <v>18040</v>
      </c>
      <c r="G632" s="194">
        <f t="shared" si="37"/>
        <v>18700</v>
      </c>
      <c r="H632" s="195">
        <f t="shared" si="38"/>
        <v>19800</v>
      </c>
      <c r="I632" s="192">
        <f t="shared" si="39"/>
        <v>20900</v>
      </c>
      <c r="J632" s="196"/>
      <c r="K632" s="196"/>
      <c r="L632" s="198" t="str">
        <f>IFERROR(VLOOKUP(#REF!,'[3]0-LPM'!$A$6:$D$10668,4,0),"")</f>
        <v/>
      </c>
      <c r="M632" s="188"/>
      <c r="N632" s="198" t="str">
        <f>IFERROR(VLOOKUP(A632,'[3]0-LPM'!$A$6:$D$10668,4,0),"")</f>
        <v/>
      </c>
      <c r="O632" s="190"/>
    </row>
    <row r="633" spans="1:15" ht="12.2" customHeight="1" x14ac:dyDescent="0.25">
      <c r="A633" s="189" t="s">
        <v>1271</v>
      </c>
      <c r="B633" s="190" t="s">
        <v>1151</v>
      </c>
      <c r="C633" s="190" t="s">
        <v>1272</v>
      </c>
      <c r="D633" s="191">
        <v>0</v>
      </c>
      <c r="E633" s="192">
        <v>22000</v>
      </c>
      <c r="F633" s="193">
        <f t="shared" si="36"/>
        <v>18040</v>
      </c>
      <c r="G633" s="194">
        <f t="shared" si="37"/>
        <v>18700</v>
      </c>
      <c r="H633" s="195">
        <f t="shared" si="38"/>
        <v>19800</v>
      </c>
      <c r="I633" s="192">
        <f t="shared" si="39"/>
        <v>20900</v>
      </c>
      <c r="J633" s="196"/>
      <c r="K633" s="196"/>
      <c r="L633" s="198" t="str">
        <f>IFERROR(VLOOKUP(#REF!,'[3]0-LPM'!$A$6:$D$10668,4,0),"")</f>
        <v/>
      </c>
      <c r="M633" s="188"/>
      <c r="N633" s="198" t="str">
        <f>IFERROR(VLOOKUP(A633,'[3]0-LPM'!$A$6:$D$10668,4,0),"")</f>
        <v/>
      </c>
      <c r="O633" s="190"/>
    </row>
    <row r="634" spans="1:15" ht="12.2" customHeight="1" x14ac:dyDescent="0.25">
      <c r="A634" s="189" t="s">
        <v>1273</v>
      </c>
      <c r="B634" s="190" t="s">
        <v>1151</v>
      </c>
      <c r="C634" s="190" t="s">
        <v>1274</v>
      </c>
      <c r="D634" s="191">
        <v>0</v>
      </c>
      <c r="E634" s="192">
        <v>15000</v>
      </c>
      <c r="F634" s="193">
        <f t="shared" si="36"/>
        <v>12300</v>
      </c>
      <c r="G634" s="194">
        <f t="shared" si="37"/>
        <v>12750</v>
      </c>
      <c r="H634" s="195">
        <f t="shared" si="38"/>
        <v>13500</v>
      </c>
      <c r="I634" s="192">
        <f t="shared" si="39"/>
        <v>14250</v>
      </c>
      <c r="J634" s="196"/>
      <c r="K634" s="196"/>
      <c r="L634" s="198" t="str">
        <f>IFERROR(VLOOKUP(#REF!,'[3]0-LPM'!$A$6:$D$10668,4,0),"")</f>
        <v/>
      </c>
      <c r="M634" s="188"/>
      <c r="N634" s="198" t="str">
        <f>IFERROR(VLOOKUP(A634,'[3]0-LPM'!$A$6:$D$10668,4,0),"")</f>
        <v/>
      </c>
      <c r="O634" s="190"/>
    </row>
    <row r="635" spans="1:15" ht="12.2" customHeight="1" x14ac:dyDescent="0.25">
      <c r="A635" s="189" t="s">
        <v>1275</v>
      </c>
      <c r="B635" s="190" t="s">
        <v>1151</v>
      </c>
      <c r="C635" s="190" t="s">
        <v>1276</v>
      </c>
      <c r="D635" s="191">
        <v>0</v>
      </c>
      <c r="E635" s="192">
        <v>5700</v>
      </c>
      <c r="F635" s="193">
        <f t="shared" si="36"/>
        <v>4670</v>
      </c>
      <c r="G635" s="194">
        <f t="shared" si="37"/>
        <v>4850</v>
      </c>
      <c r="H635" s="195">
        <f t="shared" si="38"/>
        <v>5130</v>
      </c>
      <c r="I635" s="192">
        <f t="shared" si="39"/>
        <v>5420</v>
      </c>
      <c r="J635" s="196"/>
      <c r="K635" s="196"/>
      <c r="L635" s="198" t="str">
        <f>IFERROR(VLOOKUP(#REF!,'[3]0-LPM'!$A$6:$D$10668,4,0),"")</f>
        <v/>
      </c>
      <c r="M635" s="188"/>
      <c r="N635" s="198" t="str">
        <f>IFERROR(VLOOKUP(A635,'[3]0-LPM'!$A$6:$D$10668,4,0),"")</f>
        <v/>
      </c>
      <c r="O635" s="190"/>
    </row>
    <row r="636" spans="1:15" ht="12.2" customHeight="1" x14ac:dyDescent="0.25">
      <c r="A636" s="189" t="s">
        <v>1277</v>
      </c>
      <c r="B636" s="190" t="s">
        <v>1151</v>
      </c>
      <c r="C636" s="190" t="s">
        <v>1278</v>
      </c>
      <c r="D636" s="191">
        <v>0</v>
      </c>
      <c r="E636" s="192">
        <v>8400</v>
      </c>
      <c r="F636" s="193">
        <f t="shared" si="36"/>
        <v>6890</v>
      </c>
      <c r="G636" s="194">
        <f t="shared" si="37"/>
        <v>7140</v>
      </c>
      <c r="H636" s="195">
        <f t="shared" si="38"/>
        <v>7560</v>
      </c>
      <c r="I636" s="192">
        <f t="shared" si="39"/>
        <v>7980</v>
      </c>
      <c r="J636" s="196"/>
      <c r="K636" s="196"/>
      <c r="L636" s="198" t="str">
        <f>IFERROR(VLOOKUP(#REF!,'[3]0-LPM'!$A$6:$D$10668,4,0),"")</f>
        <v/>
      </c>
      <c r="M636" s="188"/>
      <c r="N636" s="198" t="str">
        <f>IFERROR(VLOOKUP(A636,'[3]0-LPM'!$A$6:$D$10668,4,0),"")</f>
        <v/>
      </c>
      <c r="O636" s="190"/>
    </row>
    <row r="637" spans="1:15" ht="12.2" customHeight="1" x14ac:dyDescent="0.25">
      <c r="A637" s="189" t="s">
        <v>1279</v>
      </c>
      <c r="B637" s="190" t="s">
        <v>1151</v>
      </c>
      <c r="C637" s="190" t="s">
        <v>1280</v>
      </c>
      <c r="D637" s="191">
        <v>0</v>
      </c>
      <c r="E637" s="192">
        <v>13000</v>
      </c>
      <c r="F637" s="193">
        <f t="shared" si="36"/>
        <v>10660</v>
      </c>
      <c r="G637" s="194">
        <f t="shared" si="37"/>
        <v>11050</v>
      </c>
      <c r="H637" s="195">
        <f t="shared" si="38"/>
        <v>11700</v>
      </c>
      <c r="I637" s="192">
        <f t="shared" si="39"/>
        <v>12350</v>
      </c>
      <c r="J637" s="196"/>
      <c r="K637" s="196"/>
      <c r="L637" s="198" t="str">
        <f>IFERROR(VLOOKUP(#REF!,'[3]0-LPM'!$A$6:$D$10668,4,0),"")</f>
        <v/>
      </c>
      <c r="M637" s="188"/>
      <c r="N637" s="198" t="str">
        <f>IFERROR(VLOOKUP(A637,'[3]0-LPM'!$A$6:$D$10668,4,0),"")</f>
        <v/>
      </c>
      <c r="O637" s="190"/>
    </row>
    <row r="638" spans="1:15" ht="12.2" customHeight="1" x14ac:dyDescent="0.25">
      <c r="A638" s="189" t="s">
        <v>36</v>
      </c>
      <c r="B638" s="190" t="s">
        <v>1151</v>
      </c>
      <c r="C638" s="190" t="s">
        <v>1281</v>
      </c>
      <c r="D638" s="191">
        <v>0</v>
      </c>
      <c r="E638" s="192">
        <v>12000</v>
      </c>
      <c r="F638" s="193">
        <f t="shared" si="36"/>
        <v>9840</v>
      </c>
      <c r="G638" s="194">
        <f t="shared" si="37"/>
        <v>10200</v>
      </c>
      <c r="H638" s="195">
        <f t="shared" si="38"/>
        <v>10800</v>
      </c>
      <c r="I638" s="192">
        <f t="shared" si="39"/>
        <v>11400</v>
      </c>
      <c r="J638" s="196"/>
      <c r="K638" s="196"/>
      <c r="L638" s="198" t="str">
        <f>IFERROR(VLOOKUP(#REF!,'[3]0-LPM'!$A$6:$D$10668,4,0),"")</f>
        <v/>
      </c>
      <c r="M638" s="188"/>
      <c r="N638" s="198" t="str">
        <f>IFERROR(VLOOKUP(A638,'[3]0-LPM'!$A$6:$D$10668,4,0),"")</f>
        <v/>
      </c>
      <c r="O638" s="190"/>
    </row>
    <row r="639" spans="1:15" ht="12.2" customHeight="1" x14ac:dyDescent="0.25">
      <c r="A639" s="189" t="s">
        <v>1282</v>
      </c>
      <c r="B639" s="190" t="s">
        <v>1151</v>
      </c>
      <c r="C639" s="190" t="s">
        <v>1283</v>
      </c>
      <c r="D639" s="191">
        <v>0</v>
      </c>
      <c r="E639" s="192">
        <v>12000</v>
      </c>
      <c r="F639" s="193">
        <f t="shared" si="36"/>
        <v>9840</v>
      </c>
      <c r="G639" s="194">
        <f t="shared" si="37"/>
        <v>10200</v>
      </c>
      <c r="H639" s="195">
        <f t="shared" si="38"/>
        <v>10800</v>
      </c>
      <c r="I639" s="192">
        <f t="shared" si="39"/>
        <v>11400</v>
      </c>
      <c r="J639" s="196"/>
      <c r="K639" s="196"/>
      <c r="L639" s="198" t="str">
        <f>IFERROR(VLOOKUP(#REF!,'[3]0-LPM'!$A$6:$D$10668,4,0),"")</f>
        <v/>
      </c>
      <c r="M639" s="188"/>
      <c r="N639" s="198" t="str">
        <f>IFERROR(VLOOKUP(A639,'[3]0-LPM'!$A$6:$D$10668,4,0),"")</f>
        <v/>
      </c>
      <c r="O639" s="190"/>
    </row>
    <row r="640" spans="1:15" ht="12.2" customHeight="1" x14ac:dyDescent="0.25">
      <c r="A640" s="189" t="s">
        <v>1284</v>
      </c>
      <c r="B640" s="190" t="s">
        <v>1151</v>
      </c>
      <c r="C640" s="190" t="s">
        <v>1285</v>
      </c>
      <c r="D640" s="191">
        <v>0</v>
      </c>
      <c r="E640" s="192">
        <v>36700</v>
      </c>
      <c r="F640" s="193">
        <f t="shared" si="36"/>
        <v>30090</v>
      </c>
      <c r="G640" s="194">
        <f t="shared" si="37"/>
        <v>31200</v>
      </c>
      <c r="H640" s="195">
        <f t="shared" si="38"/>
        <v>33030</v>
      </c>
      <c r="I640" s="192">
        <f t="shared" si="39"/>
        <v>34870</v>
      </c>
      <c r="J640" s="196"/>
      <c r="K640" s="196"/>
      <c r="L640" s="198" t="str">
        <f>IFERROR(VLOOKUP(#REF!,'[3]0-LPM'!$A$6:$D$10668,4,0),"")</f>
        <v/>
      </c>
      <c r="M640" s="188"/>
      <c r="N640" s="198" t="str">
        <f>IFERROR(VLOOKUP(A640,'[3]0-LPM'!$A$6:$D$10668,4,0),"")</f>
        <v/>
      </c>
      <c r="O640" s="190"/>
    </row>
    <row r="641" spans="1:15" ht="12.2" customHeight="1" x14ac:dyDescent="0.25">
      <c r="A641" s="189" t="s">
        <v>1286</v>
      </c>
      <c r="B641" s="190" t="s">
        <v>1151</v>
      </c>
      <c r="C641" s="190" t="s">
        <v>1287</v>
      </c>
      <c r="D641" s="191">
        <v>0</v>
      </c>
      <c r="E641" s="192">
        <v>36700</v>
      </c>
      <c r="F641" s="193">
        <f t="shared" si="36"/>
        <v>30090</v>
      </c>
      <c r="G641" s="194">
        <f t="shared" si="37"/>
        <v>31200</v>
      </c>
      <c r="H641" s="195">
        <f t="shared" si="38"/>
        <v>33030</v>
      </c>
      <c r="I641" s="192">
        <f t="shared" si="39"/>
        <v>34870</v>
      </c>
      <c r="J641" s="196"/>
      <c r="K641" s="196"/>
      <c r="L641" s="198" t="str">
        <f>IFERROR(VLOOKUP(#REF!,'[3]0-LPM'!$A$6:$D$10668,4,0),"")</f>
        <v/>
      </c>
      <c r="M641" s="188"/>
      <c r="N641" s="198" t="str">
        <f>IFERROR(VLOOKUP(A641,'[3]0-LPM'!$A$6:$D$10668,4,0),"")</f>
        <v/>
      </c>
      <c r="O641" s="190"/>
    </row>
    <row r="642" spans="1:15" ht="12.2" customHeight="1" x14ac:dyDescent="0.25">
      <c r="A642" s="189" t="s">
        <v>1288</v>
      </c>
      <c r="B642" s="190" t="s">
        <v>1151</v>
      </c>
      <c r="C642" s="190" t="s">
        <v>1289</v>
      </c>
      <c r="D642" s="191">
        <v>0</v>
      </c>
      <c r="E642" s="192">
        <v>36700</v>
      </c>
      <c r="F642" s="193">
        <f t="shared" si="36"/>
        <v>30090</v>
      </c>
      <c r="G642" s="194">
        <f t="shared" si="37"/>
        <v>31200</v>
      </c>
      <c r="H642" s="195">
        <f t="shared" si="38"/>
        <v>33030</v>
      </c>
      <c r="I642" s="192">
        <f t="shared" si="39"/>
        <v>34870</v>
      </c>
      <c r="J642" s="196"/>
      <c r="K642" s="196"/>
      <c r="L642" s="198" t="str">
        <f>IFERROR(VLOOKUP(#REF!,'[3]0-LPM'!$A$6:$D$10668,4,0),"")</f>
        <v/>
      </c>
      <c r="M642" s="188"/>
      <c r="N642" s="198" t="str">
        <f>IFERROR(VLOOKUP(A642,'[3]0-LPM'!$A$6:$D$10668,4,0),"")</f>
        <v/>
      </c>
      <c r="O642" s="190"/>
    </row>
    <row r="643" spans="1:15" ht="12.2" customHeight="1" x14ac:dyDescent="0.25">
      <c r="A643" s="189" t="s">
        <v>1290</v>
      </c>
      <c r="B643" s="190" t="s">
        <v>1151</v>
      </c>
      <c r="C643" s="190" t="s">
        <v>1291</v>
      </c>
      <c r="D643" s="191">
        <v>0</v>
      </c>
      <c r="E643" s="192">
        <v>23500</v>
      </c>
      <c r="F643" s="193">
        <f t="shared" si="36"/>
        <v>19270</v>
      </c>
      <c r="G643" s="194">
        <f t="shared" si="37"/>
        <v>19980</v>
      </c>
      <c r="H643" s="195">
        <f t="shared" si="38"/>
        <v>21150</v>
      </c>
      <c r="I643" s="192">
        <f t="shared" si="39"/>
        <v>22330</v>
      </c>
      <c r="J643" s="196"/>
      <c r="K643" s="196"/>
      <c r="L643" s="198" t="str">
        <f>IFERROR(VLOOKUP(#REF!,'[3]0-LPM'!$A$6:$D$10668,4,0),"")</f>
        <v/>
      </c>
      <c r="M643" s="188"/>
      <c r="N643" s="198" t="str">
        <f>IFERROR(VLOOKUP(A643,'[3]0-LPM'!$A$6:$D$10668,4,0),"")</f>
        <v/>
      </c>
      <c r="O643" s="190"/>
    </row>
    <row r="644" spans="1:15" ht="12.2" customHeight="1" x14ac:dyDescent="0.25">
      <c r="A644" s="189" t="s">
        <v>1292</v>
      </c>
      <c r="B644" s="190" t="s">
        <v>1151</v>
      </c>
      <c r="C644" s="190" t="s">
        <v>1293</v>
      </c>
      <c r="D644" s="191">
        <v>0</v>
      </c>
      <c r="E644" s="192">
        <v>18000</v>
      </c>
      <c r="F644" s="193">
        <f t="shared" si="36"/>
        <v>14760</v>
      </c>
      <c r="G644" s="194">
        <f t="shared" si="37"/>
        <v>15300</v>
      </c>
      <c r="H644" s="195">
        <f t="shared" si="38"/>
        <v>16200</v>
      </c>
      <c r="I644" s="192">
        <f t="shared" si="39"/>
        <v>17100</v>
      </c>
      <c r="J644" s="196"/>
      <c r="K644" s="196"/>
      <c r="L644" s="198" t="str">
        <f>IFERROR(VLOOKUP(#REF!,'[3]0-LPM'!$A$6:$D$10668,4,0),"")</f>
        <v/>
      </c>
      <c r="M644" s="188"/>
      <c r="N644" s="198" t="str">
        <f>IFERROR(VLOOKUP(A644,'[3]0-LPM'!$A$6:$D$10668,4,0),"")</f>
        <v/>
      </c>
      <c r="O644" s="190"/>
    </row>
    <row r="645" spans="1:15" ht="12.2" customHeight="1" x14ac:dyDescent="0.25">
      <c r="A645" s="189" t="s">
        <v>1294</v>
      </c>
      <c r="B645" s="190" t="s">
        <v>1151</v>
      </c>
      <c r="C645" s="224" t="s">
        <v>1295</v>
      </c>
      <c r="D645" s="191">
        <v>0</v>
      </c>
      <c r="E645" s="192">
        <v>6200</v>
      </c>
      <c r="F645" s="193">
        <f t="shared" si="36"/>
        <v>5080</v>
      </c>
      <c r="G645" s="194">
        <f t="shared" si="37"/>
        <v>5270</v>
      </c>
      <c r="H645" s="195">
        <f t="shared" si="38"/>
        <v>5580</v>
      </c>
      <c r="I645" s="192">
        <f t="shared" si="39"/>
        <v>5890</v>
      </c>
      <c r="J645" s="196"/>
      <c r="K645" s="196"/>
      <c r="L645" s="198" t="str">
        <f>IFERROR(VLOOKUP(#REF!,'[3]0-LPM'!$A$6:$D$10668,4,0),"")</f>
        <v/>
      </c>
      <c r="M645" s="188"/>
      <c r="N645" s="198" t="str">
        <f>IFERROR(VLOOKUP(A645,'[3]0-LPM'!$A$6:$D$10668,4,0),"")</f>
        <v/>
      </c>
      <c r="O645" s="224"/>
    </row>
    <row r="646" spans="1:15" ht="12.2" customHeight="1" x14ac:dyDescent="0.25">
      <c r="A646" s="189" t="s">
        <v>1296</v>
      </c>
      <c r="B646" s="190" t="s">
        <v>1151</v>
      </c>
      <c r="C646" s="224" t="s">
        <v>1297</v>
      </c>
      <c r="D646" s="191">
        <v>0</v>
      </c>
      <c r="E646" s="192">
        <v>12400</v>
      </c>
      <c r="F646" s="193">
        <f t="shared" si="36"/>
        <v>10170</v>
      </c>
      <c r="G646" s="194">
        <f t="shared" si="37"/>
        <v>10540</v>
      </c>
      <c r="H646" s="195">
        <f t="shared" si="38"/>
        <v>11160</v>
      </c>
      <c r="I646" s="192">
        <f t="shared" si="39"/>
        <v>11780</v>
      </c>
      <c r="J646" s="196"/>
      <c r="K646" s="196"/>
      <c r="L646" s="198" t="str">
        <f>IFERROR(VLOOKUP(#REF!,'[3]0-LPM'!$A$6:$D$10668,4,0),"")</f>
        <v/>
      </c>
      <c r="M646" s="188"/>
      <c r="N646" s="198" t="str">
        <f>IFERROR(VLOOKUP(A646,'[3]0-LPM'!$A$6:$D$10668,4,0),"")</f>
        <v/>
      </c>
      <c r="O646" s="224"/>
    </row>
    <row r="647" spans="1:15" ht="12.2" customHeight="1" x14ac:dyDescent="0.25">
      <c r="A647" s="189" t="s">
        <v>1298</v>
      </c>
      <c r="B647" s="190" t="s">
        <v>1151</v>
      </c>
      <c r="C647" s="190" t="s">
        <v>1299</v>
      </c>
      <c r="D647" s="191">
        <v>0</v>
      </c>
      <c r="E647" s="192">
        <v>35000</v>
      </c>
      <c r="F647" s="193">
        <f t="shared" si="36"/>
        <v>28700</v>
      </c>
      <c r="G647" s="194">
        <f t="shared" si="37"/>
        <v>29750</v>
      </c>
      <c r="H647" s="195">
        <f t="shared" si="38"/>
        <v>31500</v>
      </c>
      <c r="I647" s="192">
        <f t="shared" si="39"/>
        <v>33250</v>
      </c>
      <c r="J647" s="196"/>
      <c r="K647" s="196"/>
      <c r="L647" s="198" t="str">
        <f>IFERROR(VLOOKUP(#REF!,'[3]0-LPM'!$A$6:$D$10668,4,0),"")</f>
        <v/>
      </c>
      <c r="M647" s="188"/>
      <c r="N647" s="198" t="str">
        <f>IFERROR(VLOOKUP(A647,'[3]0-LPM'!$A$6:$D$10668,4,0),"")</f>
        <v/>
      </c>
      <c r="O647" s="190"/>
    </row>
    <row r="648" spans="1:15" ht="12.2" customHeight="1" x14ac:dyDescent="0.25">
      <c r="A648" s="189" t="s">
        <v>1300</v>
      </c>
      <c r="B648" s="190" t="s">
        <v>1151</v>
      </c>
      <c r="C648" s="190" t="s">
        <v>1301</v>
      </c>
      <c r="D648" s="191">
        <v>0</v>
      </c>
      <c r="E648" s="192">
        <v>15000</v>
      </c>
      <c r="F648" s="193">
        <f t="shared" si="36"/>
        <v>12300</v>
      </c>
      <c r="G648" s="194">
        <f t="shared" si="37"/>
        <v>12750</v>
      </c>
      <c r="H648" s="195">
        <f t="shared" si="38"/>
        <v>13500</v>
      </c>
      <c r="I648" s="192">
        <f t="shared" si="39"/>
        <v>14250</v>
      </c>
      <c r="J648" s="196"/>
      <c r="K648" s="196"/>
      <c r="L648" s="198" t="str">
        <f>IFERROR(VLOOKUP(#REF!,'[3]0-LPM'!$A$6:$D$10668,4,0),"")</f>
        <v/>
      </c>
      <c r="M648" s="188"/>
      <c r="N648" s="198" t="str">
        <f>IFERROR(VLOOKUP(A648,'[3]0-LPM'!$A$6:$D$10668,4,0),"")</f>
        <v/>
      </c>
      <c r="O648" s="190"/>
    </row>
    <row r="649" spans="1:15" ht="12.2" customHeight="1" x14ac:dyDescent="0.25">
      <c r="A649" s="189" t="s">
        <v>1302</v>
      </c>
      <c r="B649" s="190" t="s">
        <v>1151</v>
      </c>
      <c r="C649" s="190" t="s">
        <v>1303</v>
      </c>
      <c r="D649" s="191">
        <v>0</v>
      </c>
      <c r="E649" s="192">
        <v>20000</v>
      </c>
      <c r="F649" s="193">
        <f t="shared" si="36"/>
        <v>16400</v>
      </c>
      <c r="G649" s="194">
        <f t="shared" si="37"/>
        <v>17000</v>
      </c>
      <c r="H649" s="195">
        <f t="shared" si="38"/>
        <v>18000</v>
      </c>
      <c r="I649" s="192">
        <f t="shared" si="39"/>
        <v>19000</v>
      </c>
      <c r="J649" s="196"/>
      <c r="K649" s="196"/>
      <c r="L649" s="198" t="str">
        <f>IFERROR(VLOOKUP(#REF!,'[3]0-LPM'!$A$6:$D$10668,4,0),"")</f>
        <v/>
      </c>
      <c r="M649" s="188"/>
      <c r="N649" s="198" t="str">
        <f>IFERROR(VLOOKUP(A649,'[3]0-LPM'!$A$6:$D$10668,4,0),"")</f>
        <v/>
      </c>
      <c r="O649" s="190"/>
    </row>
    <row r="650" spans="1:15" ht="12.2" customHeight="1" x14ac:dyDescent="0.25">
      <c r="A650" s="189" t="s">
        <v>1304</v>
      </c>
      <c r="B650" s="190" t="s">
        <v>1151</v>
      </c>
      <c r="C650" s="190" t="s">
        <v>1305</v>
      </c>
      <c r="D650" s="191"/>
      <c r="E650" s="192">
        <v>19020</v>
      </c>
      <c r="F650" s="193">
        <f t="shared" si="36"/>
        <v>15600</v>
      </c>
      <c r="G650" s="194">
        <f t="shared" si="37"/>
        <v>16170</v>
      </c>
      <c r="H650" s="195">
        <f t="shared" si="38"/>
        <v>17120</v>
      </c>
      <c r="I650" s="192">
        <f t="shared" si="39"/>
        <v>18070</v>
      </c>
      <c r="J650" s="196"/>
      <c r="K650" s="196"/>
      <c r="L650" s="198"/>
      <c r="M650" s="188"/>
      <c r="N650" s="198"/>
      <c r="O650" s="190"/>
    </row>
    <row r="651" spans="1:15" ht="12.2" customHeight="1" x14ac:dyDescent="0.25">
      <c r="A651" s="189" t="s">
        <v>1306</v>
      </c>
      <c r="B651" s="190" t="s">
        <v>1151</v>
      </c>
      <c r="C651" s="190" t="s">
        <v>1307</v>
      </c>
      <c r="D651" s="191"/>
      <c r="E651" s="192">
        <v>42680</v>
      </c>
      <c r="F651" s="193">
        <f t="shared" si="36"/>
        <v>35000</v>
      </c>
      <c r="G651" s="194">
        <f t="shared" si="37"/>
        <v>36280</v>
      </c>
      <c r="H651" s="195">
        <f t="shared" si="38"/>
        <v>38410</v>
      </c>
      <c r="I651" s="192">
        <f t="shared" si="39"/>
        <v>40550</v>
      </c>
      <c r="J651" s="196"/>
      <c r="K651" s="196"/>
      <c r="L651" s="198"/>
      <c r="M651" s="188"/>
      <c r="N651" s="198"/>
      <c r="O651" s="190"/>
    </row>
    <row r="652" spans="1:15" ht="12.2" customHeight="1" x14ac:dyDescent="0.25">
      <c r="A652" s="189" t="s">
        <v>1308</v>
      </c>
      <c r="B652" s="190" t="s">
        <v>1151</v>
      </c>
      <c r="C652" s="190" t="s">
        <v>1309</v>
      </c>
      <c r="D652" s="191"/>
      <c r="E652" s="192">
        <v>36590</v>
      </c>
      <c r="F652" s="193">
        <f t="shared" si="36"/>
        <v>30000</v>
      </c>
      <c r="G652" s="194">
        <f t="shared" si="37"/>
        <v>31100</v>
      </c>
      <c r="H652" s="195">
        <f t="shared" si="38"/>
        <v>32930</v>
      </c>
      <c r="I652" s="192">
        <f t="shared" si="39"/>
        <v>34760</v>
      </c>
      <c r="J652" s="196"/>
      <c r="K652" s="196"/>
      <c r="L652" s="198"/>
      <c r="M652" s="188"/>
      <c r="N652" s="198"/>
      <c r="O652" s="190"/>
    </row>
    <row r="653" spans="1:15" ht="12.2" customHeight="1" x14ac:dyDescent="0.25">
      <c r="A653" s="189" t="s">
        <v>1310</v>
      </c>
      <c r="B653" s="190" t="s">
        <v>1151</v>
      </c>
      <c r="C653" s="190" t="s">
        <v>1311</v>
      </c>
      <c r="D653" s="191"/>
      <c r="E653" s="192">
        <v>48780</v>
      </c>
      <c r="F653" s="193">
        <f t="shared" si="36"/>
        <v>40000</v>
      </c>
      <c r="G653" s="194">
        <f t="shared" si="37"/>
        <v>41460</v>
      </c>
      <c r="H653" s="195">
        <f t="shared" si="38"/>
        <v>43900</v>
      </c>
      <c r="I653" s="192">
        <f t="shared" si="39"/>
        <v>46340</v>
      </c>
      <c r="J653" s="196"/>
      <c r="K653" s="196"/>
      <c r="L653" s="198"/>
      <c r="M653" s="188"/>
      <c r="N653" s="198"/>
      <c r="O653" s="190"/>
    </row>
    <row r="654" spans="1:15" s="231" customFormat="1" ht="12.2" customHeight="1" x14ac:dyDescent="0.25">
      <c r="A654" s="225"/>
      <c r="B654" s="226"/>
      <c r="C654" s="227"/>
      <c r="D654" s="228">
        <f>SUM(D5:D649)</f>
        <v>4762170</v>
      </c>
      <c r="E654" s="227">
        <f>SUM(E5:E653)</f>
        <v>4852142</v>
      </c>
      <c r="F654" s="227">
        <f>SUM(F5:F651)</f>
        <v>3910990</v>
      </c>
      <c r="G654" s="227">
        <f>SUM(G5:G651)</f>
        <v>4054860</v>
      </c>
      <c r="H654" s="227">
        <f>SUM(H5:H651)</f>
        <v>4290110</v>
      </c>
      <c r="I654" s="227">
        <f>SUM(I5:I651)</f>
        <v>4529460</v>
      </c>
      <c r="J654" s="227"/>
      <c r="K654" s="227"/>
      <c r="L654" s="229"/>
      <c r="M654" s="230"/>
      <c r="N654" s="229"/>
      <c r="O654" s="227"/>
    </row>
    <row r="655" spans="1:15" s="231" customFormat="1" ht="12.2" customHeight="1" x14ac:dyDescent="0.25">
      <c r="A655" s="225"/>
      <c r="B655" s="226"/>
      <c r="C655" s="227"/>
      <c r="D655" s="232"/>
      <c r="E655" s="233"/>
      <c r="F655" s="233"/>
      <c r="G655" s="233"/>
      <c r="H655" s="233"/>
      <c r="I655" s="233"/>
      <c r="J655" s="233"/>
      <c r="K655" s="233"/>
      <c r="L655" s="229"/>
      <c r="M655" s="230"/>
      <c r="N655" s="229"/>
      <c r="O655" s="227"/>
    </row>
    <row r="656" spans="1:15" s="231" customFormat="1" ht="12.2" customHeight="1" x14ac:dyDescent="0.25">
      <c r="A656" s="225"/>
      <c r="B656" s="226"/>
      <c r="C656" s="227"/>
      <c r="D656" s="232"/>
      <c r="E656" s="233"/>
      <c r="F656" s="233"/>
      <c r="G656" s="233"/>
      <c r="H656" s="233"/>
      <c r="I656" s="233"/>
      <c r="J656" s="233"/>
      <c r="K656" s="233"/>
      <c r="L656" s="229"/>
      <c r="M656" s="230"/>
      <c r="N656" s="229"/>
      <c r="O656" s="227"/>
    </row>
    <row r="657" spans="1:15" ht="12.2" customHeight="1" x14ac:dyDescent="0.25">
      <c r="A657" s="204"/>
      <c r="B657" s="205"/>
      <c r="C657" s="206" t="s">
        <v>1312</v>
      </c>
      <c r="D657" s="191"/>
      <c r="E657" s="192"/>
      <c r="F657" s="193"/>
      <c r="G657" s="194"/>
      <c r="H657" s="195"/>
      <c r="I657" s="192"/>
      <c r="J657" s="196"/>
      <c r="K657" s="196"/>
      <c r="L657" s="198"/>
      <c r="M657" s="188"/>
      <c r="N657" s="198"/>
      <c r="O657" s="206"/>
    </row>
    <row r="658" spans="1:15" ht="12.2" customHeight="1" x14ac:dyDescent="0.25">
      <c r="A658" s="189" t="s">
        <v>1313</v>
      </c>
      <c r="B658" s="212" t="s">
        <v>1314</v>
      </c>
      <c r="C658" s="234" t="s">
        <v>1315</v>
      </c>
      <c r="D658" s="191"/>
      <c r="E658" s="192"/>
      <c r="F658" s="193"/>
      <c r="G658" s="194"/>
      <c r="H658" s="195"/>
      <c r="I658" s="192"/>
      <c r="J658" s="196"/>
      <c r="K658" s="196"/>
      <c r="L658" s="198"/>
      <c r="M658" s="188"/>
      <c r="N658" s="198"/>
      <c r="O658" s="234"/>
    </row>
    <row r="659" spans="1:15" ht="12.2" customHeight="1" x14ac:dyDescent="0.25">
      <c r="A659" s="189" t="s">
        <v>1316</v>
      </c>
      <c r="B659" s="212" t="s">
        <v>1314</v>
      </c>
      <c r="C659" s="234" t="s">
        <v>1317</v>
      </c>
      <c r="D659" s="191"/>
      <c r="E659" s="192"/>
      <c r="F659" s="193"/>
      <c r="G659" s="194"/>
      <c r="H659" s="195"/>
      <c r="I659" s="192"/>
      <c r="J659" s="196"/>
      <c r="K659" s="196"/>
      <c r="L659" s="198"/>
      <c r="M659" s="188"/>
      <c r="N659" s="198"/>
      <c r="O659" s="234"/>
    </row>
    <row r="660" spans="1:15" ht="12.2" customHeight="1" x14ac:dyDescent="0.25">
      <c r="A660" s="189" t="s">
        <v>1318</v>
      </c>
      <c r="B660" s="212" t="s">
        <v>1314</v>
      </c>
      <c r="C660" s="234" t="s">
        <v>1319</v>
      </c>
      <c r="D660" s="191"/>
      <c r="E660" s="192"/>
      <c r="F660" s="193"/>
      <c r="G660" s="194"/>
      <c r="H660" s="195"/>
      <c r="I660" s="192"/>
      <c r="J660" s="196"/>
      <c r="K660" s="196"/>
      <c r="L660" s="198"/>
      <c r="M660" s="188"/>
      <c r="N660" s="198"/>
      <c r="O660" s="234"/>
    </row>
    <row r="661" spans="1:15" ht="12.2" customHeight="1" x14ac:dyDescent="0.25">
      <c r="A661" s="189" t="s">
        <v>1320</v>
      </c>
      <c r="B661" s="212" t="s">
        <v>1314</v>
      </c>
      <c r="C661" s="234" t="s">
        <v>1321</v>
      </c>
      <c r="D661" s="191"/>
      <c r="E661" s="192"/>
      <c r="F661" s="193"/>
      <c r="G661" s="194"/>
      <c r="H661" s="195"/>
      <c r="I661" s="192"/>
      <c r="J661" s="196"/>
      <c r="K661" s="196"/>
      <c r="L661" s="198"/>
      <c r="M661" s="188"/>
      <c r="N661" s="198"/>
      <c r="O661" s="234"/>
    </row>
    <row r="662" spans="1:15" ht="12.2" customHeight="1" x14ac:dyDescent="0.25">
      <c r="A662" s="189" t="s">
        <v>1322</v>
      </c>
      <c r="B662" s="212" t="s">
        <v>1314</v>
      </c>
      <c r="C662" s="234" t="s">
        <v>1323</v>
      </c>
      <c r="D662" s="191"/>
      <c r="E662" s="192"/>
      <c r="F662" s="193"/>
      <c r="G662" s="194"/>
      <c r="H662" s="195"/>
      <c r="I662" s="192"/>
      <c r="J662" s="196"/>
      <c r="K662" s="196"/>
      <c r="L662" s="198"/>
      <c r="M662" s="188"/>
      <c r="N662" s="198"/>
      <c r="O662" s="234"/>
    </row>
    <row r="663" spans="1:15" ht="12.2" customHeight="1" x14ac:dyDescent="0.25">
      <c r="A663" s="189" t="s">
        <v>1324</v>
      </c>
      <c r="B663" s="212" t="s">
        <v>1314</v>
      </c>
      <c r="C663" s="234" t="s">
        <v>1325</v>
      </c>
      <c r="D663" s="191"/>
      <c r="E663" s="192"/>
      <c r="F663" s="193"/>
      <c r="G663" s="194"/>
      <c r="H663" s="195"/>
      <c r="I663" s="192"/>
      <c r="J663" s="196"/>
      <c r="K663" s="196"/>
      <c r="L663" s="198"/>
      <c r="M663" s="188"/>
      <c r="N663" s="198"/>
      <c r="O663" s="234"/>
    </row>
    <row r="664" spans="1:15" ht="12.2" customHeight="1" x14ac:dyDescent="0.25">
      <c r="A664" s="189" t="s">
        <v>1326</v>
      </c>
      <c r="B664" s="212" t="s">
        <v>1314</v>
      </c>
      <c r="C664" s="234" t="s">
        <v>1327</v>
      </c>
      <c r="D664" s="191"/>
      <c r="E664" s="192"/>
      <c r="F664" s="193"/>
      <c r="G664" s="194"/>
      <c r="H664" s="195"/>
      <c r="I664" s="192"/>
      <c r="J664" s="196"/>
      <c r="K664" s="196"/>
      <c r="L664" s="198"/>
      <c r="M664" s="188"/>
      <c r="N664" s="198"/>
      <c r="O664" s="234"/>
    </row>
    <row r="665" spans="1:15" ht="12.2" customHeight="1" x14ac:dyDescent="0.25">
      <c r="A665" s="189" t="s">
        <v>1328</v>
      </c>
      <c r="B665" s="212" t="s">
        <v>1314</v>
      </c>
      <c r="C665" s="234" t="s">
        <v>1329</v>
      </c>
      <c r="D665" s="191"/>
      <c r="E665" s="192"/>
      <c r="F665" s="193"/>
      <c r="G665" s="194"/>
      <c r="H665" s="195"/>
      <c r="I665" s="192"/>
      <c r="J665" s="196"/>
      <c r="K665" s="196"/>
      <c r="L665" s="198"/>
      <c r="M665" s="188"/>
      <c r="N665" s="198"/>
      <c r="O665" s="234"/>
    </row>
    <row r="666" spans="1:15" ht="12.2" customHeight="1" x14ac:dyDescent="0.25">
      <c r="A666" s="189" t="s">
        <v>1330</v>
      </c>
      <c r="B666" s="212" t="s">
        <v>1314</v>
      </c>
      <c r="C666" s="234" t="s">
        <v>1331</v>
      </c>
      <c r="D666" s="191"/>
      <c r="E666" s="192"/>
      <c r="F666" s="193"/>
      <c r="G666" s="194"/>
      <c r="H666" s="195"/>
      <c r="I666" s="192"/>
      <c r="J666" s="196"/>
      <c r="K666" s="196"/>
      <c r="L666" s="198"/>
      <c r="M666" s="188"/>
      <c r="N666" s="198"/>
      <c r="O666" s="234"/>
    </row>
    <row r="667" spans="1:15" ht="12.2" customHeight="1" x14ac:dyDescent="0.25">
      <c r="A667" s="189" t="s">
        <v>1332</v>
      </c>
      <c r="B667" s="212" t="s">
        <v>1314</v>
      </c>
      <c r="C667" s="234"/>
      <c r="D667" s="191"/>
      <c r="E667" s="192"/>
      <c r="F667" s="193"/>
      <c r="G667" s="194"/>
      <c r="H667" s="195"/>
      <c r="I667" s="192"/>
      <c r="J667" s="196"/>
      <c r="K667" s="196"/>
      <c r="L667" s="198"/>
      <c r="M667" s="188"/>
      <c r="N667" s="198"/>
      <c r="O667" s="234"/>
    </row>
    <row r="668" spans="1:15" ht="12.2" customHeight="1" x14ac:dyDescent="0.25">
      <c r="A668" s="189" t="s">
        <v>1333</v>
      </c>
      <c r="B668" s="212" t="s">
        <v>1314</v>
      </c>
      <c r="C668" s="234" t="s">
        <v>1334</v>
      </c>
      <c r="D668" s="191"/>
      <c r="E668" s="192"/>
      <c r="F668" s="193"/>
      <c r="G668" s="194"/>
      <c r="H668" s="195"/>
      <c r="I668" s="192"/>
      <c r="J668" s="196"/>
      <c r="K668" s="196"/>
      <c r="L668" s="198"/>
      <c r="M668" s="188"/>
      <c r="N668" s="198"/>
      <c r="O668" s="234"/>
    </row>
    <row r="669" spans="1:15" ht="12.2" customHeight="1" x14ac:dyDescent="0.25">
      <c r="A669" s="189" t="s">
        <v>1335</v>
      </c>
      <c r="B669" s="212" t="s">
        <v>1314</v>
      </c>
      <c r="C669" s="234" t="s">
        <v>1336</v>
      </c>
      <c r="D669" s="191"/>
      <c r="E669" s="192"/>
      <c r="F669" s="193"/>
      <c r="G669" s="194"/>
      <c r="H669" s="195"/>
      <c r="I669" s="192"/>
      <c r="J669" s="196"/>
      <c r="K669" s="196"/>
      <c r="L669" s="198"/>
      <c r="M669" s="188"/>
      <c r="N669" s="198"/>
      <c r="O669" s="234"/>
    </row>
    <row r="670" spans="1:15" ht="12.2" customHeight="1" x14ac:dyDescent="0.25">
      <c r="A670" s="189" t="s">
        <v>1337</v>
      </c>
      <c r="B670" s="212" t="s">
        <v>1314</v>
      </c>
      <c r="C670" s="234" t="s">
        <v>1338</v>
      </c>
      <c r="D670" s="191"/>
      <c r="E670" s="192"/>
      <c r="F670" s="193"/>
      <c r="G670" s="194"/>
      <c r="H670" s="195"/>
      <c r="I670" s="192"/>
      <c r="J670" s="196"/>
      <c r="K670" s="196"/>
      <c r="L670" s="198"/>
      <c r="M670" s="188"/>
      <c r="N670" s="198"/>
      <c r="O670" s="234"/>
    </row>
    <row r="671" spans="1:15" ht="12.2" customHeight="1" x14ac:dyDescent="0.25">
      <c r="A671" s="189" t="s">
        <v>1339</v>
      </c>
      <c r="B671" s="212" t="s">
        <v>1314</v>
      </c>
      <c r="C671" s="234" t="s">
        <v>1340</v>
      </c>
      <c r="D671" s="191"/>
      <c r="E671" s="192"/>
      <c r="F671" s="193"/>
      <c r="G671" s="194"/>
      <c r="H671" s="195"/>
      <c r="I671" s="192"/>
      <c r="J671" s="196"/>
      <c r="K671" s="196"/>
      <c r="L671" s="198"/>
      <c r="M671" s="188"/>
      <c r="N671" s="198"/>
      <c r="O671" s="234"/>
    </row>
    <row r="672" spans="1:15" ht="12.2" customHeight="1" x14ac:dyDescent="0.25">
      <c r="A672" s="189" t="s">
        <v>1341</v>
      </c>
      <c r="B672" s="212" t="s">
        <v>1314</v>
      </c>
      <c r="C672" s="234" t="s">
        <v>1342</v>
      </c>
      <c r="D672" s="191"/>
      <c r="E672" s="192"/>
      <c r="F672" s="193"/>
      <c r="G672" s="194"/>
      <c r="H672" s="195"/>
      <c r="I672" s="192"/>
      <c r="J672" s="196"/>
      <c r="K672" s="196"/>
      <c r="L672" s="198"/>
      <c r="M672" s="188"/>
      <c r="N672" s="198"/>
      <c r="O672" s="234"/>
    </row>
    <row r="673" spans="1:15" ht="12.2" customHeight="1" x14ac:dyDescent="0.25">
      <c r="A673" s="189" t="s">
        <v>1343</v>
      </c>
      <c r="B673" s="212" t="s">
        <v>1314</v>
      </c>
      <c r="C673" s="234" t="s">
        <v>1344</v>
      </c>
      <c r="D673" s="191"/>
      <c r="E673" s="192"/>
      <c r="F673" s="193"/>
      <c r="G673" s="194"/>
      <c r="H673" s="195"/>
      <c r="I673" s="192"/>
      <c r="J673" s="196"/>
      <c r="K673" s="196"/>
      <c r="L673" s="198"/>
      <c r="M673" s="188"/>
      <c r="N673" s="198"/>
      <c r="O673" s="234"/>
    </row>
    <row r="674" spans="1:15" ht="12.2" customHeight="1" x14ac:dyDescent="0.25">
      <c r="A674" s="189" t="s">
        <v>1345</v>
      </c>
      <c r="B674" s="212" t="s">
        <v>1314</v>
      </c>
      <c r="C674" s="234" t="s">
        <v>1346</v>
      </c>
      <c r="D674" s="191"/>
      <c r="E674" s="192"/>
      <c r="F674" s="193"/>
      <c r="G674" s="194"/>
      <c r="H674" s="195"/>
      <c r="I674" s="192"/>
      <c r="J674" s="196"/>
      <c r="K674" s="196"/>
      <c r="L674" s="198"/>
      <c r="M674" s="188"/>
      <c r="N674" s="198"/>
      <c r="O674" s="234"/>
    </row>
    <row r="675" spans="1:15" ht="12.2" customHeight="1" x14ac:dyDescent="0.25">
      <c r="A675" s="189" t="s">
        <v>1347</v>
      </c>
      <c r="B675" s="212" t="s">
        <v>1314</v>
      </c>
      <c r="C675" s="234" t="s">
        <v>1348</v>
      </c>
      <c r="D675" s="191"/>
      <c r="E675" s="192"/>
      <c r="F675" s="193"/>
      <c r="G675" s="194"/>
      <c r="H675" s="195"/>
      <c r="I675" s="192"/>
      <c r="J675" s="196"/>
      <c r="K675" s="196"/>
      <c r="L675" s="198"/>
      <c r="M675" s="188"/>
      <c r="N675" s="198"/>
      <c r="O675" s="234"/>
    </row>
    <row r="676" spans="1:15" ht="12.2" customHeight="1" x14ac:dyDescent="0.25">
      <c r="A676" s="189" t="s">
        <v>1349</v>
      </c>
      <c r="B676" s="212" t="s">
        <v>1314</v>
      </c>
      <c r="C676" s="234" t="s">
        <v>1350</v>
      </c>
      <c r="D676" s="191"/>
      <c r="E676" s="192"/>
      <c r="F676" s="193"/>
      <c r="G676" s="194"/>
      <c r="H676" s="195"/>
      <c r="I676" s="192"/>
      <c r="J676" s="196"/>
      <c r="K676" s="196"/>
      <c r="L676" s="198"/>
      <c r="M676" s="188"/>
      <c r="N676" s="198"/>
      <c r="O676" s="234"/>
    </row>
    <row r="677" spans="1:15" ht="12.2" customHeight="1" x14ac:dyDescent="0.25">
      <c r="A677" s="189" t="s">
        <v>1351</v>
      </c>
      <c r="B677" s="212" t="s">
        <v>1314</v>
      </c>
      <c r="C677" s="234" t="s">
        <v>1352</v>
      </c>
      <c r="D677" s="191"/>
      <c r="E677" s="192"/>
      <c r="F677" s="193"/>
      <c r="G677" s="194"/>
      <c r="H677" s="195"/>
      <c r="I677" s="192"/>
      <c r="J677" s="196"/>
      <c r="K677" s="196"/>
      <c r="L677" s="198"/>
      <c r="M677" s="188"/>
      <c r="N677" s="198"/>
      <c r="O677" s="234"/>
    </row>
    <row r="678" spans="1:15" ht="12.2" customHeight="1" x14ac:dyDescent="0.25">
      <c r="A678" s="189" t="s">
        <v>1353</v>
      </c>
      <c r="B678" s="212" t="s">
        <v>1314</v>
      </c>
      <c r="C678" s="234" t="s">
        <v>1354</v>
      </c>
      <c r="D678" s="191"/>
      <c r="E678" s="192"/>
      <c r="F678" s="193"/>
      <c r="G678" s="194"/>
      <c r="H678" s="195"/>
      <c r="I678" s="192"/>
      <c r="J678" s="196"/>
      <c r="K678" s="196"/>
      <c r="L678" s="198"/>
      <c r="M678" s="188"/>
      <c r="N678" s="198"/>
      <c r="O678" s="234"/>
    </row>
    <row r="679" spans="1:15" ht="12.2" customHeight="1" x14ac:dyDescent="0.25">
      <c r="A679" s="189" t="s">
        <v>1355</v>
      </c>
      <c r="B679" s="212" t="s">
        <v>1314</v>
      </c>
      <c r="C679" s="234" t="s">
        <v>1356</v>
      </c>
      <c r="D679" s="191"/>
      <c r="E679" s="192"/>
      <c r="F679" s="193"/>
      <c r="G679" s="194"/>
      <c r="H679" s="195"/>
      <c r="I679" s="192"/>
      <c r="J679" s="196"/>
      <c r="K679" s="196"/>
      <c r="L679" s="198"/>
      <c r="M679" s="188"/>
      <c r="N679" s="198"/>
      <c r="O679" s="234"/>
    </row>
    <row r="680" spans="1:15" ht="12.2" customHeight="1" x14ac:dyDescent="0.25">
      <c r="A680" s="189" t="s">
        <v>1357</v>
      </c>
      <c r="B680" s="212" t="s">
        <v>1314</v>
      </c>
      <c r="C680" s="234" t="s">
        <v>1358</v>
      </c>
      <c r="D680" s="191"/>
      <c r="E680" s="192"/>
      <c r="F680" s="193"/>
      <c r="G680" s="194"/>
      <c r="H680" s="195"/>
      <c r="I680" s="192"/>
      <c r="J680" s="196"/>
      <c r="K680" s="196"/>
      <c r="L680" s="198"/>
      <c r="M680" s="188"/>
      <c r="N680" s="198"/>
      <c r="O680" s="234"/>
    </row>
    <row r="681" spans="1:15" ht="12.2" customHeight="1" x14ac:dyDescent="0.25">
      <c r="A681" s="189" t="s">
        <v>1359</v>
      </c>
      <c r="B681" s="212" t="s">
        <v>1314</v>
      </c>
      <c r="C681" s="234" t="s">
        <v>1360</v>
      </c>
      <c r="D681" s="191"/>
      <c r="E681" s="192"/>
      <c r="F681" s="193"/>
      <c r="G681" s="194"/>
      <c r="H681" s="195"/>
      <c r="I681" s="192"/>
      <c r="J681" s="196"/>
      <c r="K681" s="196"/>
      <c r="L681" s="198"/>
      <c r="M681" s="188"/>
      <c r="N681" s="198"/>
      <c r="O681" s="234"/>
    </row>
    <row r="682" spans="1:15" ht="12.2" customHeight="1" x14ac:dyDescent="0.25">
      <c r="A682" s="189" t="s">
        <v>1361</v>
      </c>
      <c r="B682" s="212" t="s">
        <v>1314</v>
      </c>
      <c r="C682" s="234" t="s">
        <v>1362</v>
      </c>
      <c r="D682" s="191"/>
      <c r="E682" s="192"/>
      <c r="F682" s="193"/>
      <c r="G682" s="194"/>
      <c r="H682" s="195"/>
      <c r="I682" s="192"/>
      <c r="J682" s="196"/>
      <c r="K682" s="196"/>
      <c r="L682" s="198"/>
      <c r="M682" s="188"/>
      <c r="N682" s="198"/>
      <c r="O682" s="234"/>
    </row>
    <row r="683" spans="1:15" ht="12.2" customHeight="1" x14ac:dyDescent="0.25">
      <c r="A683" s="189" t="s">
        <v>1363</v>
      </c>
      <c r="B683" s="212" t="s">
        <v>1314</v>
      </c>
      <c r="C683" s="234" t="s">
        <v>1364</v>
      </c>
      <c r="D683" s="191"/>
      <c r="E683" s="192"/>
      <c r="F683" s="193"/>
      <c r="G683" s="194"/>
      <c r="H683" s="195"/>
      <c r="I683" s="192"/>
      <c r="J683" s="196"/>
      <c r="K683" s="196"/>
      <c r="L683" s="198"/>
      <c r="M683" s="188"/>
      <c r="N683" s="198"/>
      <c r="O683" s="234"/>
    </row>
    <row r="684" spans="1:15" ht="12.2" customHeight="1" x14ac:dyDescent="0.25">
      <c r="A684" s="189" t="s">
        <v>1365</v>
      </c>
      <c r="B684" s="212" t="s">
        <v>1314</v>
      </c>
      <c r="C684" s="234" t="s">
        <v>1366</v>
      </c>
      <c r="D684" s="191"/>
      <c r="E684" s="192"/>
      <c r="F684" s="193"/>
      <c r="G684" s="194"/>
      <c r="H684" s="195"/>
      <c r="I684" s="192"/>
      <c r="J684" s="196"/>
      <c r="K684" s="196"/>
      <c r="L684" s="198"/>
      <c r="M684" s="188"/>
      <c r="N684" s="198"/>
      <c r="O684" s="234"/>
    </row>
    <row r="685" spans="1:15" ht="12.2" customHeight="1" x14ac:dyDescent="0.25">
      <c r="A685" s="189" t="s">
        <v>1367</v>
      </c>
      <c r="B685" s="212" t="s">
        <v>1314</v>
      </c>
      <c r="C685" s="234" t="s">
        <v>1368</v>
      </c>
      <c r="D685" s="191"/>
      <c r="E685" s="192"/>
      <c r="F685" s="193"/>
      <c r="G685" s="194"/>
      <c r="H685" s="195"/>
      <c r="I685" s="192"/>
      <c r="J685" s="196"/>
      <c r="K685" s="196"/>
      <c r="L685" s="198"/>
      <c r="M685" s="188"/>
      <c r="N685" s="198"/>
      <c r="O685" s="234"/>
    </row>
    <row r="686" spans="1:15" ht="12.2" customHeight="1" x14ac:dyDescent="0.25">
      <c r="A686" s="189" t="s">
        <v>1369</v>
      </c>
      <c r="B686" s="212" t="s">
        <v>1314</v>
      </c>
      <c r="C686" s="234" t="s">
        <v>1370</v>
      </c>
      <c r="D686" s="191"/>
      <c r="E686" s="192"/>
      <c r="F686" s="193"/>
      <c r="G686" s="194"/>
      <c r="H686" s="195"/>
      <c r="I686" s="192"/>
      <c r="J686" s="196"/>
      <c r="K686" s="196"/>
      <c r="L686" s="198"/>
      <c r="M686" s="188"/>
      <c r="N686" s="198"/>
      <c r="O686" s="234"/>
    </row>
    <row r="687" spans="1:15" ht="12.2" customHeight="1" x14ac:dyDescent="0.25">
      <c r="A687" s="189" t="s">
        <v>1371</v>
      </c>
      <c r="B687" s="212" t="s">
        <v>1314</v>
      </c>
      <c r="C687" s="234" t="s">
        <v>1372</v>
      </c>
      <c r="D687" s="191"/>
      <c r="E687" s="192"/>
      <c r="F687" s="193"/>
      <c r="G687" s="194"/>
      <c r="H687" s="195"/>
      <c r="I687" s="192"/>
      <c r="J687" s="196"/>
      <c r="K687" s="196"/>
      <c r="L687" s="198"/>
      <c r="M687" s="188"/>
      <c r="N687" s="198"/>
      <c r="O687" s="234"/>
    </row>
    <row r="688" spans="1:15" ht="12.2" customHeight="1" x14ac:dyDescent="0.25">
      <c r="A688" s="189" t="s">
        <v>1373</v>
      </c>
      <c r="B688" s="212" t="s">
        <v>1314</v>
      </c>
      <c r="C688" s="234" t="s">
        <v>1374</v>
      </c>
      <c r="D688" s="191"/>
      <c r="E688" s="192"/>
      <c r="F688" s="193"/>
      <c r="G688" s="194"/>
      <c r="H688" s="195"/>
      <c r="I688" s="192"/>
      <c r="J688" s="196"/>
      <c r="K688" s="196"/>
      <c r="L688" s="198"/>
      <c r="M688" s="188"/>
      <c r="N688" s="198"/>
      <c r="O688" s="234"/>
    </row>
    <row r="689" spans="1:15" ht="12.2" customHeight="1" x14ac:dyDescent="0.25">
      <c r="A689" s="189" t="s">
        <v>1375</v>
      </c>
      <c r="B689" s="212" t="s">
        <v>1314</v>
      </c>
      <c r="C689" s="234" t="s">
        <v>1376</v>
      </c>
      <c r="D689" s="191"/>
      <c r="E689" s="192"/>
      <c r="F689" s="193"/>
      <c r="G689" s="194"/>
      <c r="H689" s="195"/>
      <c r="I689" s="192"/>
      <c r="J689" s="196"/>
      <c r="K689" s="196"/>
      <c r="L689" s="198"/>
      <c r="M689" s="188"/>
      <c r="N689" s="198"/>
      <c r="O689" s="234"/>
    </row>
    <row r="690" spans="1:15" ht="12.2" customHeight="1" x14ac:dyDescent="0.25">
      <c r="A690" s="189" t="s">
        <v>1377</v>
      </c>
      <c r="B690" s="212" t="s">
        <v>1314</v>
      </c>
      <c r="C690" s="234" t="s">
        <v>1378</v>
      </c>
      <c r="D690" s="191"/>
      <c r="E690" s="192"/>
      <c r="F690" s="193"/>
      <c r="G690" s="194"/>
      <c r="H690" s="195"/>
      <c r="I690" s="192"/>
      <c r="J690" s="196"/>
      <c r="K690" s="196"/>
      <c r="L690" s="198"/>
      <c r="M690" s="188"/>
      <c r="N690" s="198"/>
      <c r="O690" s="234"/>
    </row>
    <row r="691" spans="1:15" ht="12.2" customHeight="1" x14ac:dyDescent="0.25">
      <c r="A691" s="189" t="s">
        <v>1379</v>
      </c>
      <c r="B691" s="212" t="s">
        <v>1314</v>
      </c>
      <c r="C691" s="234" t="s">
        <v>1380</v>
      </c>
      <c r="D691" s="191"/>
      <c r="E691" s="192"/>
      <c r="F691" s="193"/>
      <c r="G691" s="194"/>
      <c r="H691" s="195"/>
      <c r="I691" s="192"/>
      <c r="J691" s="196"/>
      <c r="K691" s="196"/>
      <c r="L691" s="198"/>
      <c r="M691" s="188"/>
      <c r="N691" s="198"/>
      <c r="O691" s="234"/>
    </row>
    <row r="692" spans="1:15" ht="12.2" customHeight="1" x14ac:dyDescent="0.25">
      <c r="A692" s="189" t="s">
        <v>1381</v>
      </c>
      <c r="B692" s="212" t="s">
        <v>1314</v>
      </c>
      <c r="C692" s="234" t="s">
        <v>1382</v>
      </c>
      <c r="D692" s="191"/>
      <c r="E692" s="192"/>
      <c r="F692" s="193"/>
      <c r="G692" s="194"/>
      <c r="H692" s="195"/>
      <c r="I692" s="192"/>
      <c r="J692" s="196"/>
      <c r="K692" s="196"/>
      <c r="L692" s="198"/>
      <c r="M692" s="188"/>
      <c r="N692" s="198"/>
      <c r="O692" s="234"/>
    </row>
    <row r="693" spans="1:15" ht="12.2" customHeight="1" x14ac:dyDescent="0.25">
      <c r="A693" s="189" t="s">
        <v>1383</v>
      </c>
      <c r="B693" s="212" t="s">
        <v>1314</v>
      </c>
      <c r="C693" s="234" t="s">
        <v>1384</v>
      </c>
      <c r="D693" s="191"/>
      <c r="E693" s="192"/>
      <c r="F693" s="193"/>
      <c r="G693" s="194"/>
      <c r="H693" s="195"/>
      <c r="I693" s="192"/>
      <c r="J693" s="196"/>
      <c r="K693" s="196"/>
      <c r="L693" s="198"/>
      <c r="M693" s="188"/>
      <c r="N693" s="198"/>
      <c r="O693" s="234"/>
    </row>
    <row r="694" spans="1:15" ht="12.2" customHeight="1" x14ac:dyDescent="0.25">
      <c r="A694" s="189" t="s">
        <v>1385</v>
      </c>
      <c r="B694" s="212" t="s">
        <v>1314</v>
      </c>
      <c r="C694" s="234" t="s">
        <v>1386</v>
      </c>
      <c r="D694" s="191"/>
      <c r="E694" s="192"/>
      <c r="F694" s="193"/>
      <c r="G694" s="194"/>
      <c r="H694" s="195"/>
      <c r="I694" s="192"/>
      <c r="J694" s="196"/>
      <c r="K694" s="196"/>
      <c r="L694" s="198"/>
      <c r="M694" s="188"/>
      <c r="N694" s="198"/>
      <c r="O694" s="234"/>
    </row>
    <row r="695" spans="1:15" ht="12.2" customHeight="1" x14ac:dyDescent="0.25">
      <c r="A695" s="235"/>
      <c r="B695" s="236"/>
      <c r="C695" s="237" t="s">
        <v>1387</v>
      </c>
      <c r="D695" s="191"/>
      <c r="E695" s="192"/>
      <c r="F695" s="193"/>
      <c r="G695" s="194"/>
      <c r="H695" s="195"/>
      <c r="I695" s="192"/>
      <c r="J695" s="196"/>
      <c r="K695" s="196"/>
      <c r="L695" s="198"/>
      <c r="M695" s="188"/>
      <c r="N695" s="198"/>
      <c r="O695" s="237"/>
    </row>
    <row r="696" spans="1:15" ht="12.2" customHeight="1" x14ac:dyDescent="0.25">
      <c r="A696" s="238" t="s">
        <v>1388</v>
      </c>
      <c r="B696" s="239" t="s">
        <v>1389</v>
      </c>
      <c r="C696" s="240" t="s">
        <v>1390</v>
      </c>
      <c r="D696" s="191"/>
      <c r="E696" s="192"/>
      <c r="F696" s="193"/>
      <c r="G696" s="194"/>
      <c r="H696" s="195"/>
      <c r="I696" s="192"/>
      <c r="J696" s="196"/>
      <c r="K696" s="196"/>
      <c r="L696" s="198"/>
      <c r="M696" s="188"/>
      <c r="N696" s="198"/>
      <c r="O696" s="240"/>
    </row>
    <row r="697" spans="1:15" ht="12.2" customHeight="1" x14ac:dyDescent="0.25">
      <c r="A697" s="238" t="s">
        <v>1391</v>
      </c>
      <c r="B697" s="239" t="s">
        <v>1389</v>
      </c>
      <c r="C697" s="240" t="s">
        <v>1392</v>
      </c>
      <c r="D697" s="191"/>
      <c r="E697" s="192"/>
      <c r="F697" s="193"/>
      <c r="G697" s="194"/>
      <c r="H697" s="195"/>
      <c r="I697" s="192"/>
      <c r="J697" s="196"/>
      <c r="K697" s="196"/>
      <c r="L697" s="198"/>
      <c r="M697" s="188"/>
      <c r="N697" s="198"/>
      <c r="O697" s="240"/>
    </row>
    <row r="698" spans="1:15" ht="12.2" customHeight="1" x14ac:dyDescent="0.25">
      <c r="A698" s="238" t="s">
        <v>1393</v>
      </c>
      <c r="B698" s="239" t="s">
        <v>1389</v>
      </c>
      <c r="C698" s="240" t="s">
        <v>1394</v>
      </c>
      <c r="D698" s="191"/>
      <c r="E698" s="192"/>
      <c r="F698" s="193"/>
      <c r="G698" s="194"/>
      <c r="H698" s="195"/>
      <c r="I698" s="192"/>
      <c r="J698" s="196"/>
      <c r="K698" s="196"/>
      <c r="L698" s="198"/>
      <c r="M698" s="188"/>
      <c r="N698" s="198"/>
      <c r="O698" s="240"/>
    </row>
    <row r="699" spans="1:15" ht="12.2" customHeight="1" x14ac:dyDescent="0.25">
      <c r="A699" s="238" t="s">
        <v>1395</v>
      </c>
      <c r="B699" s="239" t="s">
        <v>1389</v>
      </c>
      <c r="C699" s="240" t="s">
        <v>1396</v>
      </c>
      <c r="D699" s="191"/>
      <c r="E699" s="192"/>
      <c r="F699" s="193"/>
      <c r="G699" s="194"/>
      <c r="H699" s="195"/>
      <c r="I699" s="192"/>
      <c r="J699" s="196"/>
      <c r="K699" s="196"/>
      <c r="L699" s="198"/>
      <c r="M699" s="188"/>
      <c r="N699" s="198"/>
      <c r="O699" s="240"/>
    </row>
    <row r="700" spans="1:15" ht="12.2" customHeight="1" x14ac:dyDescent="0.25">
      <c r="A700" s="238" t="s">
        <v>1397</v>
      </c>
      <c r="B700" s="239" t="s">
        <v>1389</v>
      </c>
      <c r="C700" s="240" t="s">
        <v>1398</v>
      </c>
      <c r="D700" s="191"/>
      <c r="E700" s="192"/>
      <c r="F700" s="193"/>
      <c r="G700" s="194"/>
      <c r="H700" s="195"/>
      <c r="I700" s="192"/>
      <c r="J700" s="196"/>
      <c r="K700" s="196"/>
      <c r="L700" s="198"/>
      <c r="M700" s="188"/>
      <c r="N700" s="198"/>
      <c r="O700" s="240"/>
    </row>
    <row r="701" spans="1:15" ht="12.2" customHeight="1" x14ac:dyDescent="0.25">
      <c r="A701" s="238" t="s">
        <v>1399</v>
      </c>
      <c r="B701" s="239" t="s">
        <v>1389</v>
      </c>
      <c r="C701" s="240" t="s">
        <v>1400</v>
      </c>
      <c r="D701" s="191"/>
      <c r="E701" s="192"/>
      <c r="F701" s="193"/>
      <c r="G701" s="194"/>
      <c r="H701" s="195"/>
      <c r="I701" s="192"/>
      <c r="J701" s="196"/>
      <c r="K701" s="196"/>
      <c r="L701" s="198"/>
      <c r="M701" s="188"/>
      <c r="N701" s="198"/>
      <c r="O701" s="240"/>
    </row>
    <row r="702" spans="1:15" ht="12.2" customHeight="1" x14ac:dyDescent="0.25">
      <c r="A702" s="238" t="s">
        <v>1401</v>
      </c>
      <c r="B702" s="239" t="s">
        <v>1389</v>
      </c>
      <c r="C702" s="240" t="s">
        <v>1402</v>
      </c>
      <c r="D702" s="191"/>
      <c r="E702" s="192"/>
      <c r="F702" s="193"/>
      <c r="G702" s="194"/>
      <c r="H702" s="195"/>
      <c r="I702" s="192"/>
      <c r="J702" s="196"/>
      <c r="K702" s="196"/>
      <c r="L702" s="198"/>
      <c r="M702" s="188"/>
      <c r="N702" s="198"/>
      <c r="O702" s="240"/>
    </row>
    <row r="703" spans="1:15" ht="12.2" customHeight="1" x14ac:dyDescent="0.25">
      <c r="A703" s="238" t="s">
        <v>1403</v>
      </c>
      <c r="B703" s="239" t="s">
        <v>1389</v>
      </c>
      <c r="C703" s="240" t="s">
        <v>1404</v>
      </c>
      <c r="D703" s="191"/>
      <c r="E703" s="192"/>
      <c r="F703" s="193"/>
      <c r="G703" s="194"/>
      <c r="H703" s="195"/>
      <c r="I703" s="192"/>
      <c r="J703" s="196"/>
      <c r="K703" s="196"/>
      <c r="L703" s="198"/>
      <c r="M703" s="188"/>
      <c r="N703" s="198"/>
      <c r="O703" s="240"/>
    </row>
    <row r="704" spans="1:15" ht="12.2" customHeight="1" x14ac:dyDescent="0.25">
      <c r="A704" s="238" t="s">
        <v>1405</v>
      </c>
      <c r="B704" s="239" t="s">
        <v>1389</v>
      </c>
      <c r="C704" s="240" t="s">
        <v>1406</v>
      </c>
      <c r="D704" s="191"/>
      <c r="E704" s="192"/>
      <c r="F704" s="193"/>
      <c r="G704" s="194"/>
      <c r="H704" s="195"/>
      <c r="I704" s="192"/>
      <c r="J704" s="196"/>
      <c r="K704" s="196"/>
      <c r="L704" s="198"/>
      <c r="M704" s="188"/>
      <c r="N704" s="198"/>
      <c r="O704" s="240"/>
    </row>
    <row r="705" spans="1:15" ht="12.2" customHeight="1" x14ac:dyDescent="0.25">
      <c r="A705" s="235"/>
      <c r="B705" s="236"/>
      <c r="C705" s="241" t="s">
        <v>1407</v>
      </c>
      <c r="D705" s="191"/>
      <c r="E705" s="192"/>
      <c r="F705" s="193"/>
      <c r="G705" s="194"/>
      <c r="H705" s="195"/>
      <c r="I705" s="192"/>
      <c r="J705" s="196"/>
      <c r="K705" s="196"/>
      <c r="L705" s="198"/>
      <c r="M705" s="188"/>
      <c r="N705" s="198"/>
      <c r="O705" s="241"/>
    </row>
    <row r="706" spans="1:15" ht="12.2" customHeight="1" x14ac:dyDescent="0.25">
      <c r="A706" s="189" t="s">
        <v>1408</v>
      </c>
      <c r="B706" s="207" t="s">
        <v>1314</v>
      </c>
      <c r="C706" s="242" t="s">
        <v>1409</v>
      </c>
      <c r="D706" s="191"/>
      <c r="E706" s="192"/>
      <c r="F706" s="193"/>
      <c r="G706" s="194"/>
      <c r="H706" s="195"/>
      <c r="I706" s="192"/>
      <c r="J706" s="196"/>
      <c r="K706" s="196"/>
      <c r="L706" s="198"/>
      <c r="M706" s="188"/>
      <c r="N706" s="198"/>
      <c r="O706" s="242"/>
    </row>
    <row r="707" spans="1:15" ht="12.2" customHeight="1" x14ac:dyDescent="0.25">
      <c r="A707" s="189" t="s">
        <v>1410</v>
      </c>
      <c r="B707" s="207" t="s">
        <v>1314</v>
      </c>
      <c r="C707" s="242" t="s">
        <v>1411</v>
      </c>
      <c r="D707" s="191"/>
      <c r="E707" s="192"/>
      <c r="F707" s="193"/>
      <c r="G707" s="194"/>
      <c r="H707" s="195"/>
      <c r="I707" s="192"/>
      <c r="J707" s="196"/>
      <c r="K707" s="196"/>
      <c r="L707" s="198"/>
      <c r="M707" s="188"/>
      <c r="N707" s="198"/>
      <c r="O707" s="242"/>
    </row>
    <row r="708" spans="1:15" ht="12.2" customHeight="1" x14ac:dyDescent="0.25">
      <c r="A708" s="189" t="s">
        <v>1412</v>
      </c>
      <c r="B708" s="207" t="s">
        <v>1314</v>
      </c>
      <c r="C708" s="242" t="s">
        <v>1413</v>
      </c>
      <c r="D708" s="191"/>
      <c r="E708" s="192"/>
      <c r="F708" s="193"/>
      <c r="G708" s="194"/>
      <c r="H708" s="195"/>
      <c r="I708" s="192"/>
      <c r="J708" s="196"/>
      <c r="K708" s="196"/>
      <c r="L708" s="198"/>
      <c r="M708" s="188"/>
      <c r="N708" s="198"/>
      <c r="O708" s="242"/>
    </row>
    <row r="709" spans="1:15" ht="12.2" customHeight="1" x14ac:dyDescent="0.25">
      <c r="A709" s="189" t="s">
        <v>1414</v>
      </c>
      <c r="B709" s="207" t="s">
        <v>1314</v>
      </c>
      <c r="C709" s="242" t="s">
        <v>1415</v>
      </c>
      <c r="D709" s="191"/>
      <c r="E709" s="192"/>
      <c r="F709" s="193"/>
      <c r="G709" s="194"/>
      <c r="H709" s="195"/>
      <c r="I709" s="192"/>
      <c r="J709" s="196"/>
      <c r="K709" s="196"/>
      <c r="L709" s="198"/>
      <c r="M709" s="188"/>
      <c r="N709" s="198"/>
      <c r="O709" s="242"/>
    </row>
    <row r="710" spans="1:15" ht="12.2" customHeight="1" x14ac:dyDescent="0.25">
      <c r="A710" s="189" t="s">
        <v>1416</v>
      </c>
      <c r="B710" s="207" t="s">
        <v>1314</v>
      </c>
      <c r="C710" s="242" t="s">
        <v>1417</v>
      </c>
      <c r="D710" s="191"/>
      <c r="E710" s="192"/>
      <c r="F710" s="193"/>
      <c r="G710" s="194"/>
      <c r="H710" s="195"/>
      <c r="I710" s="192"/>
      <c r="J710" s="196"/>
      <c r="K710" s="196"/>
      <c r="L710" s="198"/>
      <c r="M710" s="188"/>
      <c r="N710" s="198"/>
      <c r="O710" s="242"/>
    </row>
    <row r="711" spans="1:15" ht="12.2" customHeight="1" x14ac:dyDescent="0.25">
      <c r="A711" s="189" t="s">
        <v>1418</v>
      </c>
      <c r="B711" s="207" t="s">
        <v>1314</v>
      </c>
      <c r="C711" s="242" t="s">
        <v>1419</v>
      </c>
      <c r="D711" s="191"/>
      <c r="E711" s="192"/>
      <c r="F711" s="193"/>
      <c r="G711" s="194"/>
      <c r="H711" s="195"/>
      <c r="I711" s="192"/>
      <c r="J711" s="196"/>
      <c r="K711" s="196"/>
      <c r="L711" s="198"/>
      <c r="M711" s="188"/>
      <c r="N711" s="198"/>
      <c r="O711" s="242"/>
    </row>
    <row r="712" spans="1:15" ht="12.2" customHeight="1" x14ac:dyDescent="0.25">
      <c r="A712" s="189" t="s">
        <v>1420</v>
      </c>
      <c r="B712" s="207" t="s">
        <v>1314</v>
      </c>
      <c r="C712" s="242" t="s">
        <v>1421</v>
      </c>
      <c r="D712" s="191"/>
      <c r="E712" s="192"/>
      <c r="F712" s="193"/>
      <c r="G712" s="194"/>
      <c r="H712" s="195"/>
      <c r="I712" s="192"/>
      <c r="J712" s="196"/>
      <c r="K712" s="196"/>
      <c r="L712" s="198"/>
      <c r="M712" s="188"/>
      <c r="N712" s="198"/>
      <c r="O712" s="242"/>
    </row>
    <row r="713" spans="1:15" ht="12.2" customHeight="1" x14ac:dyDescent="0.25">
      <c r="A713" s="189" t="s">
        <v>1422</v>
      </c>
      <c r="B713" s="207" t="s">
        <v>1314</v>
      </c>
      <c r="C713" s="242" t="s">
        <v>1423</v>
      </c>
      <c r="D713" s="191"/>
      <c r="E713" s="192"/>
      <c r="F713" s="193"/>
      <c r="G713" s="194"/>
      <c r="H713" s="195"/>
      <c r="I713" s="192"/>
      <c r="J713" s="196"/>
      <c r="K713" s="196"/>
      <c r="L713" s="198"/>
      <c r="M713" s="188"/>
      <c r="N713" s="198"/>
      <c r="O713" s="242"/>
    </row>
    <row r="714" spans="1:15" ht="12.2" customHeight="1" x14ac:dyDescent="0.25">
      <c r="A714" s="189" t="s">
        <v>1424</v>
      </c>
      <c r="B714" s="207" t="s">
        <v>1314</v>
      </c>
      <c r="C714" s="242" t="s">
        <v>1425</v>
      </c>
      <c r="D714" s="191"/>
      <c r="E714" s="192"/>
      <c r="F714" s="193"/>
      <c r="G714" s="194"/>
      <c r="H714" s="195"/>
      <c r="I714" s="192"/>
      <c r="J714" s="196"/>
      <c r="K714" s="196"/>
      <c r="L714" s="198"/>
      <c r="M714" s="188"/>
      <c r="N714" s="198"/>
      <c r="O714" s="242"/>
    </row>
    <row r="715" spans="1:15" ht="12.2" customHeight="1" x14ac:dyDescent="0.25">
      <c r="A715" s="189" t="s">
        <v>1426</v>
      </c>
      <c r="B715" s="207" t="s">
        <v>1314</v>
      </c>
      <c r="C715" s="242" t="s">
        <v>1427</v>
      </c>
      <c r="D715" s="191"/>
      <c r="E715" s="192"/>
      <c r="F715" s="193"/>
      <c r="G715" s="194"/>
      <c r="H715" s="195"/>
      <c r="I715" s="192"/>
      <c r="J715" s="196"/>
      <c r="K715" s="196"/>
      <c r="L715" s="198"/>
      <c r="M715" s="188"/>
      <c r="N715" s="198"/>
      <c r="O715" s="242"/>
    </row>
    <row r="716" spans="1:15" ht="12.2" customHeight="1" x14ac:dyDescent="0.25">
      <c r="A716" s="189" t="s">
        <v>1428</v>
      </c>
      <c r="B716" s="207" t="s">
        <v>1314</v>
      </c>
      <c r="C716" s="242" t="s">
        <v>1429</v>
      </c>
      <c r="D716" s="191"/>
      <c r="E716" s="192"/>
      <c r="F716" s="193"/>
      <c r="G716" s="194"/>
      <c r="H716" s="195"/>
      <c r="I716" s="192"/>
      <c r="J716" s="196"/>
      <c r="K716" s="196"/>
      <c r="L716" s="198"/>
      <c r="M716" s="188"/>
      <c r="N716" s="198"/>
      <c r="O716" s="242"/>
    </row>
    <row r="717" spans="1:15" ht="12.2" customHeight="1" x14ac:dyDescent="0.25">
      <c r="A717" s="189" t="s">
        <v>1430</v>
      </c>
      <c r="B717" s="207" t="s">
        <v>1314</v>
      </c>
      <c r="C717" s="242" t="s">
        <v>1431</v>
      </c>
      <c r="D717" s="191"/>
      <c r="E717" s="192"/>
      <c r="F717" s="193"/>
      <c r="G717" s="194"/>
      <c r="H717" s="195"/>
      <c r="I717" s="192"/>
      <c r="J717" s="196"/>
      <c r="K717" s="196"/>
      <c r="L717" s="198"/>
      <c r="M717" s="188"/>
      <c r="N717" s="198"/>
      <c r="O717" s="242"/>
    </row>
    <row r="718" spans="1:15" ht="12.2" customHeight="1" x14ac:dyDescent="0.25">
      <c r="A718" s="189" t="s">
        <v>1432</v>
      </c>
      <c r="B718" s="207" t="s">
        <v>1314</v>
      </c>
      <c r="C718" s="242" t="s">
        <v>1433</v>
      </c>
      <c r="D718" s="191"/>
      <c r="E718" s="192"/>
      <c r="F718" s="193"/>
      <c r="G718" s="194"/>
      <c r="H718" s="195"/>
      <c r="I718" s="192"/>
      <c r="J718" s="196"/>
      <c r="K718" s="196"/>
      <c r="L718" s="198"/>
      <c r="M718" s="188"/>
      <c r="N718" s="198"/>
      <c r="O718" s="242"/>
    </row>
    <row r="719" spans="1:15" ht="12.2" customHeight="1" x14ac:dyDescent="0.25">
      <c r="A719" s="189" t="s">
        <v>1434</v>
      </c>
      <c r="B719" s="207" t="s">
        <v>1314</v>
      </c>
      <c r="C719" s="242" t="s">
        <v>1435</v>
      </c>
      <c r="D719" s="191"/>
      <c r="E719" s="192"/>
      <c r="F719" s="193"/>
      <c r="G719" s="194"/>
      <c r="H719" s="195"/>
      <c r="I719" s="192"/>
      <c r="J719" s="196"/>
      <c r="K719" s="196"/>
      <c r="L719" s="198"/>
      <c r="M719" s="188"/>
      <c r="N719" s="198"/>
      <c r="O719" s="242"/>
    </row>
    <row r="720" spans="1:15" ht="12.2" customHeight="1" x14ac:dyDescent="0.25">
      <c r="A720" s="189" t="s">
        <v>1436</v>
      </c>
      <c r="B720" s="207" t="s">
        <v>1314</v>
      </c>
      <c r="C720" s="242" t="s">
        <v>1437</v>
      </c>
      <c r="D720" s="191"/>
      <c r="E720" s="192"/>
      <c r="F720" s="193"/>
      <c r="G720" s="194"/>
      <c r="H720" s="195"/>
      <c r="I720" s="192"/>
      <c r="J720" s="196"/>
      <c r="K720" s="196"/>
      <c r="L720" s="198"/>
      <c r="M720" s="188"/>
      <c r="N720" s="198"/>
      <c r="O720" s="242"/>
    </row>
    <row r="721" spans="1:15" ht="12.2" customHeight="1" x14ac:dyDescent="0.25">
      <c r="A721" s="189" t="s">
        <v>1438</v>
      </c>
      <c r="B721" s="207" t="s">
        <v>1314</v>
      </c>
      <c r="C721" s="242" t="s">
        <v>1439</v>
      </c>
      <c r="D721" s="191"/>
      <c r="E721" s="192"/>
      <c r="F721" s="193"/>
      <c r="G721" s="194"/>
      <c r="H721" s="195"/>
      <c r="I721" s="192"/>
      <c r="J721" s="196"/>
      <c r="K721" s="196"/>
      <c r="L721" s="198"/>
      <c r="M721" s="188"/>
      <c r="N721" s="198"/>
      <c r="O721" s="242"/>
    </row>
    <row r="722" spans="1:15" ht="12.2" customHeight="1" x14ac:dyDescent="0.25">
      <c r="A722" s="189" t="s">
        <v>1440</v>
      </c>
      <c r="B722" s="207" t="s">
        <v>1314</v>
      </c>
      <c r="C722" s="242" t="s">
        <v>1441</v>
      </c>
      <c r="D722" s="191"/>
      <c r="E722" s="192"/>
      <c r="F722" s="193"/>
      <c r="G722" s="194"/>
      <c r="H722" s="195"/>
      <c r="I722" s="192"/>
      <c r="J722" s="196"/>
      <c r="K722" s="196"/>
      <c r="L722" s="198"/>
      <c r="M722" s="188"/>
      <c r="N722" s="198"/>
      <c r="O722" s="242"/>
    </row>
    <row r="723" spans="1:15" ht="12.2" customHeight="1" x14ac:dyDescent="0.25">
      <c r="A723" s="189" t="s">
        <v>1442</v>
      </c>
      <c r="B723" s="207" t="s">
        <v>1314</v>
      </c>
      <c r="C723" s="242" t="s">
        <v>1443</v>
      </c>
      <c r="D723" s="191"/>
      <c r="E723" s="192"/>
      <c r="F723" s="193"/>
      <c r="G723" s="194"/>
      <c r="H723" s="195"/>
      <c r="I723" s="192"/>
      <c r="J723" s="196"/>
      <c r="K723" s="196"/>
      <c r="L723" s="198"/>
      <c r="M723" s="188"/>
      <c r="N723" s="198"/>
      <c r="O723" s="242"/>
    </row>
    <row r="724" spans="1:15" ht="12.2" customHeight="1" x14ac:dyDescent="0.25">
      <c r="A724" s="189" t="s">
        <v>1444</v>
      </c>
      <c r="B724" s="207" t="s">
        <v>1314</v>
      </c>
      <c r="C724" s="242" t="s">
        <v>1445</v>
      </c>
      <c r="D724" s="191"/>
      <c r="E724" s="192"/>
      <c r="F724" s="193"/>
      <c r="G724" s="194"/>
      <c r="H724" s="195"/>
      <c r="I724" s="192"/>
      <c r="J724" s="196"/>
      <c r="K724" s="196"/>
      <c r="L724" s="198"/>
      <c r="M724" s="188"/>
      <c r="N724" s="198"/>
      <c r="O724" s="242"/>
    </row>
    <row r="725" spans="1:15" ht="12.2" customHeight="1" x14ac:dyDescent="0.25">
      <c r="A725" s="189" t="s">
        <v>1446</v>
      </c>
      <c r="B725" s="207" t="s">
        <v>1314</v>
      </c>
      <c r="C725" s="242" t="s">
        <v>1447</v>
      </c>
      <c r="D725" s="191"/>
      <c r="E725" s="192"/>
      <c r="F725" s="193"/>
      <c r="G725" s="194"/>
      <c r="H725" s="195"/>
      <c r="I725" s="192"/>
      <c r="J725" s="196"/>
      <c r="K725" s="196"/>
      <c r="L725" s="198"/>
      <c r="M725" s="188"/>
      <c r="N725" s="198"/>
      <c r="O725" s="242"/>
    </row>
    <row r="726" spans="1:15" ht="12.2" customHeight="1" x14ac:dyDescent="0.25">
      <c r="A726" s="189" t="s">
        <v>1448</v>
      </c>
      <c r="B726" s="207" t="s">
        <v>1314</v>
      </c>
      <c r="C726" s="242" t="s">
        <v>1449</v>
      </c>
      <c r="D726" s="191"/>
      <c r="E726" s="192"/>
      <c r="F726" s="193"/>
      <c r="G726" s="194"/>
      <c r="H726" s="195"/>
      <c r="I726" s="192"/>
      <c r="J726" s="196"/>
      <c r="K726" s="196"/>
      <c r="L726" s="198"/>
      <c r="M726" s="188"/>
      <c r="N726" s="198"/>
      <c r="O726" s="242"/>
    </row>
    <row r="727" spans="1:15" ht="12.2" customHeight="1" x14ac:dyDescent="0.25">
      <c r="A727" s="189" t="s">
        <v>1450</v>
      </c>
      <c r="B727" s="207" t="s">
        <v>1314</v>
      </c>
      <c r="C727" s="242" t="s">
        <v>1451</v>
      </c>
      <c r="D727" s="191"/>
      <c r="E727" s="192"/>
      <c r="F727" s="193"/>
      <c r="G727" s="194"/>
      <c r="H727" s="195"/>
      <c r="I727" s="192"/>
      <c r="J727" s="196"/>
      <c r="K727" s="196"/>
      <c r="L727" s="198"/>
      <c r="M727" s="188"/>
      <c r="N727" s="198"/>
      <c r="O727" s="242"/>
    </row>
    <row r="728" spans="1:15" ht="12.2" customHeight="1" x14ac:dyDescent="0.25">
      <c r="A728" s="189" t="s">
        <v>1452</v>
      </c>
      <c r="B728" s="207" t="s">
        <v>1314</v>
      </c>
      <c r="C728" s="242" t="s">
        <v>1453</v>
      </c>
      <c r="D728" s="191"/>
      <c r="E728" s="192"/>
      <c r="F728" s="193"/>
      <c r="G728" s="194"/>
      <c r="H728" s="195"/>
      <c r="I728" s="192"/>
      <c r="J728" s="196"/>
      <c r="K728" s="196"/>
      <c r="L728" s="198"/>
      <c r="M728" s="188"/>
      <c r="N728" s="198"/>
      <c r="O728" s="242"/>
    </row>
    <row r="729" spans="1:15" ht="12.2" customHeight="1" x14ac:dyDescent="0.25">
      <c r="A729" s="189" t="s">
        <v>1454</v>
      </c>
      <c r="B729" s="207" t="s">
        <v>1314</v>
      </c>
      <c r="C729" s="242" t="s">
        <v>1455</v>
      </c>
      <c r="D729" s="191"/>
      <c r="E729" s="192"/>
      <c r="F729" s="193"/>
      <c r="G729" s="194"/>
      <c r="H729" s="195"/>
      <c r="I729" s="192"/>
      <c r="J729" s="196"/>
      <c r="K729" s="196"/>
      <c r="L729" s="198"/>
      <c r="M729" s="188"/>
      <c r="N729" s="198"/>
      <c r="O729" s="242"/>
    </row>
    <row r="730" spans="1:15" ht="12.2" customHeight="1" x14ac:dyDescent="0.25">
      <c r="A730" s="189" t="s">
        <v>1456</v>
      </c>
      <c r="B730" s="207" t="s">
        <v>1314</v>
      </c>
      <c r="C730" s="242" t="s">
        <v>1457</v>
      </c>
      <c r="D730" s="191"/>
      <c r="E730" s="192"/>
      <c r="F730" s="193"/>
      <c r="G730" s="194"/>
      <c r="H730" s="195"/>
      <c r="I730" s="192"/>
      <c r="J730" s="196"/>
      <c r="K730" s="196"/>
      <c r="L730" s="198"/>
      <c r="M730" s="188"/>
      <c r="N730" s="198"/>
      <c r="O730" s="242"/>
    </row>
    <row r="731" spans="1:15" ht="12.2" customHeight="1" x14ac:dyDescent="0.25">
      <c r="A731" s="189" t="s">
        <v>1458</v>
      </c>
      <c r="B731" s="207" t="s">
        <v>1314</v>
      </c>
      <c r="C731" s="242" t="s">
        <v>1459</v>
      </c>
      <c r="D731" s="191"/>
      <c r="E731" s="192"/>
      <c r="F731" s="193"/>
      <c r="G731" s="194"/>
      <c r="H731" s="195"/>
      <c r="I731" s="192"/>
      <c r="J731" s="196"/>
      <c r="K731" s="196"/>
      <c r="L731" s="198"/>
      <c r="M731" s="188"/>
      <c r="N731" s="198"/>
      <c r="O731" s="242"/>
    </row>
    <row r="732" spans="1:15" ht="12.2" customHeight="1" x14ac:dyDescent="0.25">
      <c r="A732" s="189" t="s">
        <v>1460</v>
      </c>
      <c r="B732" s="207" t="s">
        <v>1314</v>
      </c>
      <c r="C732" s="242" t="s">
        <v>1461</v>
      </c>
      <c r="D732" s="191"/>
      <c r="E732" s="192"/>
      <c r="F732" s="193"/>
      <c r="G732" s="194"/>
      <c r="H732" s="195"/>
      <c r="I732" s="192"/>
      <c r="J732" s="196"/>
      <c r="K732" s="196"/>
      <c r="L732" s="198"/>
      <c r="M732" s="188"/>
      <c r="N732" s="198"/>
      <c r="O732" s="242"/>
    </row>
    <row r="733" spans="1:15" ht="12.2" customHeight="1" x14ac:dyDescent="0.25">
      <c r="A733" s="189" t="s">
        <v>1462</v>
      </c>
      <c r="B733" s="207" t="s">
        <v>1314</v>
      </c>
      <c r="C733" s="190" t="s">
        <v>1463</v>
      </c>
      <c r="D733" s="191"/>
      <c r="E733" s="192"/>
      <c r="F733" s="193"/>
      <c r="G733" s="194"/>
      <c r="H733" s="195"/>
      <c r="I733" s="192"/>
      <c r="J733" s="196"/>
      <c r="K733" s="196"/>
      <c r="L733" s="198"/>
      <c r="M733" s="188"/>
      <c r="N733" s="198"/>
      <c r="O733" s="190"/>
    </row>
    <row r="734" spans="1:15" ht="12.2" customHeight="1" x14ac:dyDescent="0.25">
      <c r="A734" s="189" t="s">
        <v>1464</v>
      </c>
      <c r="B734" s="207" t="s">
        <v>1314</v>
      </c>
      <c r="C734" s="190" t="s">
        <v>1465</v>
      </c>
      <c r="D734" s="191"/>
      <c r="E734" s="192"/>
      <c r="F734" s="193"/>
      <c r="G734" s="194"/>
      <c r="H734" s="195"/>
      <c r="I734" s="192"/>
      <c r="J734" s="196"/>
      <c r="K734" s="196"/>
      <c r="L734" s="198"/>
      <c r="M734" s="188"/>
      <c r="N734" s="198"/>
      <c r="O734" s="190"/>
    </row>
    <row r="735" spans="1:15" ht="12.2" customHeight="1" x14ac:dyDescent="0.25">
      <c r="A735" s="189" t="s">
        <v>1466</v>
      </c>
      <c r="B735" s="207" t="s">
        <v>1314</v>
      </c>
      <c r="C735" s="190" t="s">
        <v>1467</v>
      </c>
      <c r="D735" s="191"/>
      <c r="E735" s="192"/>
      <c r="F735" s="193"/>
      <c r="G735" s="194"/>
      <c r="H735" s="195"/>
      <c r="I735" s="192"/>
      <c r="J735" s="196"/>
      <c r="K735" s="196"/>
      <c r="L735" s="198"/>
      <c r="M735" s="188"/>
      <c r="N735" s="198"/>
      <c r="O735" s="190"/>
    </row>
    <row r="736" spans="1:15" ht="12.2" customHeight="1" x14ac:dyDescent="0.25">
      <c r="A736" s="189" t="s">
        <v>1468</v>
      </c>
      <c r="B736" s="207" t="s">
        <v>1314</v>
      </c>
      <c r="C736" s="190" t="s">
        <v>1469</v>
      </c>
      <c r="D736" s="191"/>
      <c r="E736" s="192"/>
      <c r="F736" s="193"/>
      <c r="G736" s="194"/>
      <c r="H736" s="195"/>
      <c r="I736" s="192"/>
      <c r="J736" s="196"/>
      <c r="K736" s="196"/>
      <c r="L736" s="198"/>
      <c r="M736" s="188"/>
      <c r="N736" s="198"/>
      <c r="O736" s="190"/>
    </row>
    <row r="737" spans="1:15" ht="12.2" customHeight="1" x14ac:dyDescent="0.25">
      <c r="A737" s="189" t="s">
        <v>1470</v>
      </c>
      <c r="B737" s="207" t="s">
        <v>1314</v>
      </c>
      <c r="C737" s="190" t="s">
        <v>1471</v>
      </c>
      <c r="D737" s="191"/>
      <c r="E737" s="192"/>
      <c r="F737" s="193"/>
      <c r="G737" s="194"/>
      <c r="H737" s="195"/>
      <c r="I737" s="192"/>
      <c r="J737" s="196"/>
      <c r="K737" s="196"/>
      <c r="L737" s="198"/>
      <c r="M737" s="188"/>
      <c r="N737" s="198"/>
      <c r="O737" s="190"/>
    </row>
    <row r="738" spans="1:15" ht="12.2" customHeight="1" x14ac:dyDescent="0.25">
      <c r="A738" s="189" t="s">
        <v>1472</v>
      </c>
      <c r="B738" s="207" t="s">
        <v>1314</v>
      </c>
      <c r="C738" s="190" t="s">
        <v>1473</v>
      </c>
      <c r="D738" s="191"/>
      <c r="E738" s="192"/>
      <c r="F738" s="193"/>
      <c r="G738" s="194"/>
      <c r="H738" s="195"/>
      <c r="I738" s="192"/>
      <c r="J738" s="196"/>
      <c r="K738" s="196"/>
      <c r="L738" s="198"/>
      <c r="M738" s="188"/>
      <c r="N738" s="198"/>
      <c r="O738" s="190"/>
    </row>
    <row r="739" spans="1:15" ht="12.2" customHeight="1" x14ac:dyDescent="0.25">
      <c r="A739" s="189" t="s">
        <v>1474</v>
      </c>
      <c r="B739" s="207" t="s">
        <v>1314</v>
      </c>
      <c r="C739" s="190" t="s">
        <v>1475</v>
      </c>
      <c r="D739" s="191"/>
      <c r="E739" s="192"/>
      <c r="F739" s="193"/>
      <c r="G739" s="194"/>
      <c r="H739" s="195"/>
      <c r="I739" s="192"/>
      <c r="J739" s="196"/>
      <c r="K739" s="196"/>
      <c r="L739" s="198"/>
      <c r="M739" s="188"/>
      <c r="N739" s="198"/>
      <c r="O739" s="190"/>
    </row>
    <row r="740" spans="1:15" ht="12.2" customHeight="1" x14ac:dyDescent="0.25">
      <c r="A740" s="189" t="s">
        <v>1476</v>
      </c>
      <c r="B740" s="207" t="s">
        <v>1314</v>
      </c>
      <c r="C740" s="190" t="s">
        <v>1477</v>
      </c>
      <c r="D740" s="191"/>
      <c r="E740" s="192"/>
      <c r="F740" s="193"/>
      <c r="G740" s="194"/>
      <c r="H740" s="195"/>
      <c r="I740" s="192"/>
      <c r="J740" s="196"/>
      <c r="K740" s="196"/>
      <c r="L740" s="198"/>
      <c r="M740" s="188"/>
      <c r="N740" s="198"/>
      <c r="O740" s="190"/>
    </row>
    <row r="741" spans="1:15" ht="12.2" customHeight="1" x14ac:dyDescent="0.25">
      <c r="A741" s="189" t="s">
        <v>1478</v>
      </c>
      <c r="B741" s="207" t="s">
        <v>1314</v>
      </c>
      <c r="C741" s="190" t="s">
        <v>1479</v>
      </c>
      <c r="D741" s="191"/>
      <c r="E741" s="192"/>
      <c r="F741" s="193"/>
      <c r="G741" s="194"/>
      <c r="H741" s="195"/>
      <c r="I741" s="192"/>
      <c r="J741" s="196"/>
      <c r="K741" s="196"/>
      <c r="L741" s="198"/>
      <c r="M741" s="188"/>
      <c r="N741" s="198"/>
      <c r="O741" s="190"/>
    </row>
    <row r="742" spans="1:15" ht="12.2" customHeight="1" x14ac:dyDescent="0.25">
      <c r="A742" s="189" t="s">
        <v>1480</v>
      </c>
      <c r="B742" s="207" t="s">
        <v>1314</v>
      </c>
      <c r="C742" s="190" t="s">
        <v>1481</v>
      </c>
      <c r="D742" s="191"/>
      <c r="E742" s="192"/>
      <c r="F742" s="193"/>
      <c r="G742" s="194"/>
      <c r="H742" s="195"/>
      <c r="I742" s="192"/>
      <c r="J742" s="196"/>
      <c r="K742" s="196"/>
      <c r="L742" s="198"/>
      <c r="M742" s="188"/>
      <c r="N742" s="198"/>
      <c r="O742" s="190"/>
    </row>
    <row r="743" spans="1:15" ht="12.2" customHeight="1" x14ac:dyDescent="0.25">
      <c r="A743" s="189" t="s">
        <v>1482</v>
      </c>
      <c r="B743" s="207" t="s">
        <v>1314</v>
      </c>
      <c r="C743" s="190" t="s">
        <v>1483</v>
      </c>
      <c r="D743" s="191"/>
      <c r="E743" s="192"/>
      <c r="F743" s="193"/>
      <c r="G743" s="194"/>
      <c r="H743" s="195"/>
      <c r="I743" s="192"/>
      <c r="J743" s="196"/>
      <c r="K743" s="196"/>
      <c r="L743" s="198"/>
      <c r="M743" s="188"/>
      <c r="N743" s="198"/>
      <c r="O743" s="190"/>
    </row>
    <row r="744" spans="1:15" ht="12.2" customHeight="1" x14ac:dyDescent="0.25">
      <c r="A744" s="189" t="s">
        <v>1484</v>
      </c>
      <c r="B744" s="207" t="s">
        <v>1314</v>
      </c>
      <c r="C744" s="190" t="s">
        <v>1485</v>
      </c>
      <c r="D744" s="191"/>
      <c r="E744" s="192"/>
      <c r="F744" s="193"/>
      <c r="G744" s="194"/>
      <c r="H744" s="195"/>
      <c r="I744" s="192"/>
      <c r="J744" s="196"/>
      <c r="K744" s="196"/>
      <c r="L744" s="198"/>
      <c r="M744" s="188"/>
      <c r="N744" s="198"/>
      <c r="O744" s="190"/>
    </row>
    <row r="745" spans="1:15" ht="12.2" customHeight="1" x14ac:dyDescent="0.25">
      <c r="A745" s="189" t="s">
        <v>1486</v>
      </c>
      <c r="B745" s="207" t="s">
        <v>1314</v>
      </c>
      <c r="C745" s="190" t="s">
        <v>1487</v>
      </c>
      <c r="D745" s="191"/>
      <c r="E745" s="192"/>
      <c r="F745" s="193"/>
      <c r="G745" s="194"/>
      <c r="H745" s="195"/>
      <c r="I745" s="192"/>
      <c r="J745" s="196"/>
      <c r="K745" s="196"/>
      <c r="L745" s="198"/>
      <c r="M745" s="188"/>
      <c r="N745" s="198"/>
      <c r="O745" s="190"/>
    </row>
    <row r="746" spans="1:15" ht="12.2" customHeight="1" x14ac:dyDescent="0.25">
      <c r="A746" s="189" t="s">
        <v>1488</v>
      </c>
      <c r="B746" s="207" t="s">
        <v>1314</v>
      </c>
      <c r="C746" s="190" t="s">
        <v>1489</v>
      </c>
      <c r="D746" s="191"/>
      <c r="E746" s="192"/>
      <c r="F746" s="193"/>
      <c r="G746" s="194"/>
      <c r="H746" s="195"/>
      <c r="I746" s="192"/>
      <c r="J746" s="196"/>
      <c r="K746" s="196"/>
      <c r="L746" s="198"/>
      <c r="M746" s="188"/>
      <c r="N746" s="198"/>
      <c r="O746" s="190"/>
    </row>
    <row r="747" spans="1:15" ht="12.2" customHeight="1" x14ac:dyDescent="0.25">
      <c r="A747" s="189" t="s">
        <v>1490</v>
      </c>
      <c r="B747" s="207" t="s">
        <v>1314</v>
      </c>
      <c r="C747" s="190" t="s">
        <v>1491</v>
      </c>
      <c r="D747" s="191"/>
      <c r="E747" s="192"/>
      <c r="F747" s="193"/>
      <c r="G747" s="194"/>
      <c r="H747" s="195"/>
      <c r="I747" s="192"/>
      <c r="J747" s="196"/>
      <c r="K747" s="196"/>
      <c r="L747" s="198"/>
      <c r="M747" s="188"/>
      <c r="N747" s="198"/>
      <c r="O747" s="190"/>
    </row>
    <row r="748" spans="1:15" ht="12.2" customHeight="1" x14ac:dyDescent="0.25">
      <c r="A748" s="189" t="s">
        <v>1492</v>
      </c>
      <c r="B748" s="207" t="s">
        <v>1314</v>
      </c>
      <c r="C748" s="190" t="s">
        <v>1493</v>
      </c>
      <c r="D748" s="191"/>
      <c r="E748" s="192"/>
      <c r="F748" s="193"/>
      <c r="G748" s="194"/>
      <c r="H748" s="195"/>
      <c r="I748" s="192"/>
      <c r="J748" s="196"/>
      <c r="K748" s="196"/>
      <c r="L748" s="198"/>
      <c r="M748" s="188"/>
      <c r="N748" s="198"/>
      <c r="O748" s="190"/>
    </row>
    <row r="749" spans="1:15" ht="12.2" customHeight="1" x14ac:dyDescent="0.25">
      <c r="A749" s="189" t="s">
        <v>1494</v>
      </c>
      <c r="B749" s="207" t="s">
        <v>1314</v>
      </c>
      <c r="C749" s="190" t="s">
        <v>1495</v>
      </c>
      <c r="D749" s="191"/>
      <c r="E749" s="192"/>
      <c r="F749" s="193"/>
      <c r="G749" s="194"/>
      <c r="H749" s="195"/>
      <c r="I749" s="192"/>
      <c r="J749" s="196"/>
      <c r="K749" s="196"/>
      <c r="L749" s="198"/>
      <c r="M749" s="188"/>
      <c r="N749" s="198"/>
      <c r="O749" s="190"/>
    </row>
    <row r="750" spans="1:15" ht="12.2" customHeight="1" x14ac:dyDescent="0.25">
      <c r="A750" s="189" t="s">
        <v>1496</v>
      </c>
      <c r="B750" s="207" t="s">
        <v>1314</v>
      </c>
      <c r="C750" s="190" t="s">
        <v>1497</v>
      </c>
      <c r="D750" s="191"/>
      <c r="E750" s="192"/>
      <c r="F750" s="193"/>
      <c r="G750" s="194"/>
      <c r="H750" s="195"/>
      <c r="I750" s="192"/>
      <c r="J750" s="196"/>
      <c r="K750" s="196"/>
      <c r="L750" s="198"/>
      <c r="M750" s="188"/>
      <c r="N750" s="198"/>
      <c r="O750" s="190"/>
    </row>
    <row r="751" spans="1:15" ht="12.2" customHeight="1" x14ac:dyDescent="0.25">
      <c r="A751" s="189" t="s">
        <v>1498</v>
      </c>
      <c r="B751" s="207" t="s">
        <v>1314</v>
      </c>
      <c r="C751" s="190" t="s">
        <v>1499</v>
      </c>
      <c r="D751" s="191"/>
      <c r="E751" s="192"/>
      <c r="F751" s="193"/>
      <c r="G751" s="194"/>
      <c r="H751" s="195"/>
      <c r="I751" s="192"/>
      <c r="J751" s="196"/>
      <c r="K751" s="196"/>
      <c r="L751" s="198"/>
      <c r="M751" s="188"/>
      <c r="N751" s="198"/>
      <c r="O751" s="190"/>
    </row>
    <row r="752" spans="1:15" ht="12.2" customHeight="1" x14ac:dyDescent="0.25">
      <c r="A752" s="189" t="s">
        <v>1500</v>
      </c>
      <c r="B752" s="207" t="s">
        <v>1314</v>
      </c>
      <c r="C752" s="190" t="s">
        <v>1501</v>
      </c>
      <c r="D752" s="191"/>
      <c r="E752" s="192"/>
      <c r="F752" s="193"/>
      <c r="G752" s="194"/>
      <c r="H752" s="195"/>
      <c r="I752" s="192"/>
      <c r="J752" s="196"/>
      <c r="K752" s="196"/>
      <c r="L752" s="198"/>
      <c r="M752" s="188"/>
      <c r="N752" s="198"/>
      <c r="O752" s="190"/>
    </row>
    <row r="753" spans="1:15" ht="12.2" customHeight="1" x14ac:dyDescent="0.25">
      <c r="A753" s="189" t="s">
        <v>1502</v>
      </c>
      <c r="B753" s="207" t="s">
        <v>1314</v>
      </c>
      <c r="C753" s="190" t="s">
        <v>1503</v>
      </c>
      <c r="D753" s="191"/>
      <c r="E753" s="192"/>
      <c r="F753" s="193"/>
      <c r="G753" s="194"/>
      <c r="H753" s="195"/>
      <c r="I753" s="192"/>
      <c r="J753" s="196"/>
      <c r="K753" s="196"/>
      <c r="L753" s="198"/>
      <c r="M753" s="188"/>
      <c r="N753" s="198"/>
      <c r="O753" s="190"/>
    </row>
    <row r="754" spans="1:15" ht="12.2" customHeight="1" x14ac:dyDescent="0.25">
      <c r="A754" s="189" t="s">
        <v>1504</v>
      </c>
      <c r="B754" s="207" t="s">
        <v>1314</v>
      </c>
      <c r="C754" s="190" t="s">
        <v>1505</v>
      </c>
      <c r="D754" s="191"/>
      <c r="E754" s="192"/>
      <c r="F754" s="193"/>
      <c r="G754" s="194"/>
      <c r="H754" s="195"/>
      <c r="I754" s="192"/>
      <c r="J754" s="196"/>
      <c r="K754" s="196"/>
      <c r="L754" s="198"/>
      <c r="M754" s="188"/>
      <c r="N754" s="198"/>
      <c r="O754" s="190"/>
    </row>
    <row r="755" spans="1:15" ht="12.2" customHeight="1" x14ac:dyDescent="0.25">
      <c r="A755" s="189" t="s">
        <v>1506</v>
      </c>
      <c r="B755" s="207" t="s">
        <v>1314</v>
      </c>
      <c r="C755" s="190" t="s">
        <v>1507</v>
      </c>
      <c r="D755" s="191"/>
      <c r="E755" s="192"/>
      <c r="F755" s="193"/>
      <c r="G755" s="194"/>
      <c r="H755" s="195"/>
      <c r="I755" s="192"/>
      <c r="J755" s="196"/>
      <c r="K755" s="196"/>
      <c r="L755" s="198"/>
      <c r="M755" s="188"/>
      <c r="N755" s="198"/>
      <c r="O755" s="190"/>
    </row>
    <row r="756" spans="1:15" ht="12.2" customHeight="1" x14ac:dyDescent="0.25">
      <c r="A756" s="189" t="s">
        <v>1508</v>
      </c>
      <c r="B756" s="207" t="s">
        <v>1314</v>
      </c>
      <c r="C756" s="190" t="s">
        <v>1509</v>
      </c>
      <c r="D756" s="191"/>
      <c r="E756" s="192"/>
      <c r="F756" s="193"/>
      <c r="G756" s="194"/>
      <c r="H756" s="195"/>
      <c r="I756" s="192"/>
      <c r="J756" s="196"/>
      <c r="K756" s="196"/>
      <c r="L756" s="198"/>
      <c r="M756" s="188"/>
      <c r="N756" s="198"/>
      <c r="O756" s="190"/>
    </row>
    <row r="757" spans="1:15" ht="12.2" customHeight="1" x14ac:dyDescent="0.25">
      <c r="A757" s="189" t="s">
        <v>1510</v>
      </c>
      <c r="B757" s="207" t="s">
        <v>1314</v>
      </c>
      <c r="C757" s="190" t="s">
        <v>1511</v>
      </c>
      <c r="D757" s="191"/>
      <c r="E757" s="192"/>
      <c r="F757" s="193"/>
      <c r="G757" s="194"/>
      <c r="H757" s="195"/>
      <c r="I757" s="192"/>
      <c r="J757" s="196"/>
      <c r="K757" s="196"/>
      <c r="L757" s="198"/>
      <c r="M757" s="188"/>
      <c r="N757" s="198"/>
      <c r="O757" s="190"/>
    </row>
    <row r="758" spans="1:15" ht="12.2" customHeight="1" x14ac:dyDescent="0.25">
      <c r="A758" s="189" t="s">
        <v>1512</v>
      </c>
      <c r="B758" s="207" t="s">
        <v>1314</v>
      </c>
      <c r="C758" s="190" t="s">
        <v>1513</v>
      </c>
      <c r="D758" s="191"/>
      <c r="E758" s="192"/>
      <c r="F758" s="193"/>
      <c r="G758" s="194"/>
      <c r="H758" s="195"/>
      <c r="I758" s="192"/>
      <c r="J758" s="196"/>
      <c r="K758" s="196"/>
      <c r="L758" s="198"/>
      <c r="M758" s="188"/>
      <c r="N758" s="198"/>
      <c r="O758" s="190"/>
    </row>
    <row r="759" spans="1:15" ht="12.2" customHeight="1" x14ac:dyDescent="0.25">
      <c r="A759" s="189" t="s">
        <v>1514</v>
      </c>
      <c r="B759" s="207" t="s">
        <v>1314</v>
      </c>
      <c r="C759" s="190" t="s">
        <v>1515</v>
      </c>
      <c r="D759" s="191"/>
      <c r="E759" s="192"/>
      <c r="F759" s="193"/>
      <c r="G759" s="194"/>
      <c r="H759" s="195"/>
      <c r="I759" s="192"/>
      <c r="J759" s="196"/>
      <c r="K759" s="196"/>
      <c r="L759" s="198"/>
      <c r="M759" s="188"/>
      <c r="N759" s="198"/>
      <c r="O759" s="190"/>
    </row>
    <row r="760" spans="1:15" ht="12.2" customHeight="1" x14ac:dyDescent="0.25">
      <c r="A760" s="189" t="s">
        <v>1516</v>
      </c>
      <c r="B760" s="243"/>
      <c r="C760" s="243" t="s">
        <v>1517</v>
      </c>
      <c r="D760" s="191"/>
      <c r="E760" s="192"/>
      <c r="F760" s="193"/>
      <c r="G760" s="194"/>
      <c r="H760" s="195"/>
      <c r="I760" s="192"/>
      <c r="J760" s="196"/>
      <c r="K760" s="196"/>
      <c r="L760" s="198"/>
      <c r="M760" s="188"/>
      <c r="N760" s="198"/>
      <c r="O760" s="243"/>
    </row>
    <row r="761" spans="1:15" ht="12.2" customHeight="1" x14ac:dyDescent="0.25">
      <c r="A761" s="189" t="s">
        <v>1518</v>
      </c>
      <c r="B761" s="190"/>
      <c r="C761" s="190" t="s">
        <v>1519</v>
      </c>
      <c r="D761" s="191"/>
      <c r="E761" s="192"/>
      <c r="F761" s="193"/>
      <c r="G761" s="194"/>
      <c r="H761" s="195"/>
      <c r="I761" s="192"/>
      <c r="J761" s="196"/>
      <c r="K761" s="196"/>
      <c r="L761" s="198"/>
      <c r="M761" s="188"/>
      <c r="N761" s="198"/>
      <c r="O761" s="190"/>
    </row>
    <row r="762" spans="1:15" ht="12.2" customHeight="1" x14ac:dyDescent="0.25">
      <c r="A762" s="189" t="s">
        <v>1520</v>
      </c>
      <c r="B762" s="190"/>
      <c r="C762" s="190" t="s">
        <v>1521</v>
      </c>
      <c r="D762" s="191"/>
      <c r="E762" s="192"/>
      <c r="F762" s="193"/>
      <c r="G762" s="194"/>
      <c r="H762" s="195"/>
      <c r="I762" s="192"/>
      <c r="J762" s="196"/>
      <c r="K762" s="196"/>
      <c r="L762" s="198"/>
      <c r="M762" s="188"/>
      <c r="N762" s="198"/>
      <c r="O762" s="190"/>
    </row>
    <row r="763" spans="1:15" ht="12.2" customHeight="1" x14ac:dyDescent="0.25">
      <c r="A763" s="189" t="s">
        <v>1522</v>
      </c>
      <c r="B763" s="190"/>
      <c r="C763" s="190" t="s">
        <v>1523</v>
      </c>
      <c r="D763" s="191"/>
      <c r="E763" s="192"/>
      <c r="F763" s="193"/>
      <c r="G763" s="194"/>
      <c r="H763" s="195"/>
      <c r="I763" s="192"/>
      <c r="J763" s="196"/>
      <c r="K763" s="196"/>
      <c r="L763" s="198"/>
      <c r="M763" s="188"/>
      <c r="N763" s="198"/>
      <c r="O763" s="190"/>
    </row>
    <row r="764" spans="1:15" ht="12.2" customHeight="1" x14ac:dyDescent="0.25">
      <c r="A764" s="189" t="s">
        <v>1524</v>
      </c>
      <c r="B764" s="190"/>
      <c r="C764" s="190" t="s">
        <v>1525</v>
      </c>
      <c r="D764" s="191"/>
      <c r="E764" s="192"/>
      <c r="F764" s="193"/>
      <c r="G764" s="194"/>
      <c r="H764" s="195"/>
      <c r="I764" s="192"/>
      <c r="J764" s="196"/>
      <c r="K764" s="196"/>
      <c r="L764" s="198"/>
      <c r="M764" s="188"/>
      <c r="N764" s="198"/>
      <c r="O764" s="190"/>
    </row>
    <row r="765" spans="1:15" ht="12.2" customHeight="1" x14ac:dyDescent="0.25">
      <c r="A765" s="189" t="s">
        <v>1526</v>
      </c>
      <c r="B765" s="190"/>
      <c r="C765" s="190" t="s">
        <v>1527</v>
      </c>
      <c r="D765" s="191"/>
      <c r="E765" s="192"/>
      <c r="F765" s="193"/>
      <c r="G765" s="194"/>
      <c r="H765" s="195"/>
      <c r="I765" s="192"/>
      <c r="J765" s="196"/>
      <c r="K765" s="196"/>
      <c r="L765" s="198"/>
      <c r="M765" s="188"/>
      <c r="N765" s="198"/>
      <c r="O765" s="190"/>
    </row>
    <row r="766" spans="1:15" ht="12.2" customHeight="1" x14ac:dyDescent="0.25">
      <c r="A766" s="189" t="s">
        <v>1528</v>
      </c>
      <c r="B766" s="190"/>
      <c r="C766" s="190" t="s">
        <v>1529</v>
      </c>
      <c r="D766" s="191"/>
      <c r="E766" s="192"/>
      <c r="F766" s="193"/>
      <c r="G766" s="194"/>
      <c r="H766" s="195"/>
      <c r="I766" s="192"/>
      <c r="J766" s="196"/>
      <c r="K766" s="196"/>
      <c r="L766" s="198"/>
      <c r="M766" s="188"/>
      <c r="N766" s="198"/>
      <c r="O766" s="190"/>
    </row>
    <row r="767" spans="1:15" ht="12.2" customHeight="1" x14ac:dyDescent="0.25">
      <c r="A767" s="189" t="s">
        <v>1530</v>
      </c>
      <c r="B767" s="190"/>
      <c r="C767" s="190" t="s">
        <v>1531</v>
      </c>
      <c r="D767" s="191"/>
      <c r="E767" s="192"/>
      <c r="F767" s="193"/>
      <c r="G767" s="194"/>
      <c r="H767" s="195"/>
      <c r="I767" s="192"/>
      <c r="J767" s="196"/>
      <c r="K767" s="196"/>
      <c r="L767" s="198"/>
      <c r="M767" s="188"/>
      <c r="N767" s="198"/>
      <c r="O767" s="190"/>
    </row>
    <row r="769" spans="5:14" ht="12.2" customHeight="1" x14ac:dyDescent="0.25">
      <c r="E769" s="246"/>
      <c r="F769" s="247"/>
      <c r="G769" s="246"/>
      <c r="H769" s="246"/>
      <c r="I769" s="246"/>
      <c r="J769" s="248"/>
      <c r="K769" s="248"/>
      <c r="L769" s="249"/>
      <c r="M769" s="250"/>
      <c r="N769" s="249"/>
    </row>
    <row r="770" spans="5:14" ht="12.2" customHeight="1" x14ac:dyDescent="0.25">
      <c r="E770" s="251"/>
      <c r="F770" s="252"/>
      <c r="G770" s="251"/>
      <c r="H770" s="251"/>
      <c r="I770" s="251"/>
      <c r="J770" s="253"/>
      <c r="K770" s="2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7981-10FA-408B-B6D6-3859474A4DB4}">
  <dimension ref="A1:N215"/>
  <sheetViews>
    <sheetView tabSelected="1" topLeftCell="A157" workbookViewId="0">
      <selection activeCell="D6" sqref="D6"/>
    </sheetView>
  </sheetViews>
  <sheetFormatPr baseColWidth="10" defaultColWidth="9.140625" defaultRowHeight="15.75" x14ac:dyDescent="0.25"/>
  <cols>
    <col min="1" max="1" width="8.140625" style="258" bestFit="1" customWidth="1"/>
    <col min="2" max="2" width="33.140625" style="259" bestFit="1" customWidth="1"/>
    <col min="3" max="3" width="8.7109375" style="260" customWidth="1"/>
    <col min="4" max="4" width="52.28515625" style="259" customWidth="1"/>
    <col min="5" max="5" width="7.7109375" style="260" customWidth="1"/>
    <col min="6" max="6" width="71.42578125" style="260" customWidth="1"/>
    <col min="7" max="7" width="30" style="259" customWidth="1"/>
    <col min="8" max="8" width="9.85546875" style="260" customWidth="1"/>
    <col min="9" max="9" width="11.7109375" style="260" customWidth="1"/>
    <col min="10" max="10" width="21.7109375" style="260" customWidth="1"/>
    <col min="11" max="11" width="29.7109375" style="260" customWidth="1"/>
    <col min="12" max="12" width="10" style="260" customWidth="1"/>
    <col min="13" max="13" width="10.140625" style="260" bestFit="1" customWidth="1"/>
    <col min="14" max="14" width="11" style="260" customWidth="1"/>
    <col min="15" max="16384" width="9.140625" style="260"/>
  </cols>
  <sheetData>
    <row r="1" spans="1:14" x14ac:dyDescent="0.25">
      <c r="A1" s="258">
        <v>1</v>
      </c>
      <c r="B1" s="259">
        <v>2</v>
      </c>
      <c r="C1" s="260">
        <v>3</v>
      </c>
      <c r="D1" s="259">
        <v>4</v>
      </c>
      <c r="E1" s="260">
        <v>5</v>
      </c>
      <c r="F1" s="260">
        <v>6</v>
      </c>
      <c r="G1" s="259">
        <v>7</v>
      </c>
      <c r="H1"/>
      <c r="I1"/>
      <c r="J1"/>
      <c r="K1"/>
      <c r="L1"/>
      <c r="M1"/>
      <c r="N1"/>
    </row>
    <row r="2" spans="1:14" ht="63" x14ac:dyDescent="0.25">
      <c r="A2" s="261" t="s">
        <v>54</v>
      </c>
      <c r="B2" s="262" t="s">
        <v>1532</v>
      </c>
      <c r="C2" s="262" t="s">
        <v>1533</v>
      </c>
      <c r="D2" s="262" t="s">
        <v>1534</v>
      </c>
      <c r="E2" s="262" t="s">
        <v>1535</v>
      </c>
      <c r="F2" s="262" t="s">
        <v>1536</v>
      </c>
      <c r="G2" s="262" t="s">
        <v>1537</v>
      </c>
      <c r="H2" s="262"/>
      <c r="I2" s="262" t="s">
        <v>1538</v>
      </c>
      <c r="J2" s="262" t="s">
        <v>1539</v>
      </c>
      <c r="K2" s="262" t="s">
        <v>1540</v>
      </c>
      <c r="L2" s="262" t="s">
        <v>1541</v>
      </c>
      <c r="M2" s="262" t="s">
        <v>1542</v>
      </c>
      <c r="N2" s="262" t="s">
        <v>1543</v>
      </c>
    </row>
    <row r="3" spans="1:14" x14ac:dyDescent="0.25">
      <c r="A3" s="263" t="s">
        <v>1544</v>
      </c>
      <c r="B3" s="264" t="s">
        <v>1545</v>
      </c>
      <c r="C3" s="265">
        <v>6</v>
      </c>
      <c r="D3" s="264" t="s">
        <v>1546</v>
      </c>
      <c r="E3" s="265"/>
      <c r="F3" s="265" t="s">
        <v>1547</v>
      </c>
      <c r="G3" s="264" t="s">
        <v>1548</v>
      </c>
      <c r="H3" s="265" t="s">
        <v>1549</v>
      </c>
      <c r="I3" s="265" t="s">
        <v>1550</v>
      </c>
      <c r="J3" s="265" t="s">
        <v>1551</v>
      </c>
      <c r="K3" s="265"/>
      <c r="L3" s="265"/>
      <c r="M3" s="265" t="s">
        <v>1552</v>
      </c>
      <c r="N3" s="265">
        <v>1</v>
      </c>
    </row>
    <row r="4" spans="1:14" x14ac:dyDescent="0.25">
      <c r="A4" s="266" t="s">
        <v>1553</v>
      </c>
      <c r="B4" s="267" t="s">
        <v>1554</v>
      </c>
      <c r="C4" s="268">
        <v>5</v>
      </c>
      <c r="D4" s="267" t="s">
        <v>1555</v>
      </c>
      <c r="E4" s="268">
        <v>1</v>
      </c>
      <c r="F4" s="268" t="s">
        <v>1556</v>
      </c>
      <c r="G4" s="267" t="s">
        <v>1557</v>
      </c>
      <c r="H4" s="268" t="s">
        <v>1549</v>
      </c>
      <c r="I4" s="268" t="s">
        <v>1558</v>
      </c>
      <c r="J4" s="268"/>
      <c r="K4" s="268" t="s">
        <v>1558</v>
      </c>
      <c r="L4" s="268" t="s">
        <v>1559</v>
      </c>
      <c r="M4" s="268" t="s">
        <v>1560</v>
      </c>
      <c r="N4" s="268"/>
    </row>
    <row r="5" spans="1:14" x14ac:dyDescent="0.25">
      <c r="A5" s="269" t="s">
        <v>1561</v>
      </c>
      <c r="B5" s="264" t="s">
        <v>1562</v>
      </c>
      <c r="C5" s="265">
        <v>5</v>
      </c>
      <c r="D5" s="264" t="s">
        <v>1563</v>
      </c>
      <c r="E5" s="265">
        <v>1</v>
      </c>
      <c r="F5" s="265"/>
      <c r="G5" s="264" t="s">
        <v>1564</v>
      </c>
      <c r="H5" s="265" t="s">
        <v>1565</v>
      </c>
      <c r="I5" s="265" t="s">
        <v>1566</v>
      </c>
      <c r="J5" s="265" t="s">
        <v>1551</v>
      </c>
      <c r="K5" s="265"/>
      <c r="L5" s="265"/>
      <c r="M5" s="265" t="s">
        <v>1567</v>
      </c>
      <c r="N5" s="265">
        <v>3</v>
      </c>
    </row>
    <row r="6" spans="1:14" x14ac:dyDescent="0.25">
      <c r="A6" s="266" t="s">
        <v>1568</v>
      </c>
      <c r="B6" s="267" t="s">
        <v>1569</v>
      </c>
      <c r="C6" s="268">
        <v>5</v>
      </c>
      <c r="D6" s="267" t="s">
        <v>1570</v>
      </c>
      <c r="E6" s="268">
        <v>1</v>
      </c>
      <c r="F6" s="268"/>
      <c r="G6" s="267" t="s">
        <v>1571</v>
      </c>
      <c r="H6" s="268" t="s">
        <v>1565</v>
      </c>
      <c r="I6" s="268" t="s">
        <v>1566</v>
      </c>
      <c r="J6" s="268" t="s">
        <v>1551</v>
      </c>
      <c r="K6" s="268"/>
      <c r="L6" s="268"/>
      <c r="M6" s="268"/>
      <c r="N6" s="268"/>
    </row>
    <row r="7" spans="1:14" x14ac:dyDescent="0.25">
      <c r="A7" s="269" t="s">
        <v>1572</v>
      </c>
      <c r="B7" s="264" t="s">
        <v>1573</v>
      </c>
      <c r="C7" s="265">
        <v>5</v>
      </c>
      <c r="D7" s="264" t="s">
        <v>1574</v>
      </c>
      <c r="E7" s="265"/>
      <c r="F7" s="265"/>
      <c r="G7" s="264" t="s">
        <v>1575</v>
      </c>
      <c r="H7" s="265"/>
      <c r="I7" s="265"/>
      <c r="J7" s="265"/>
      <c r="K7" s="265"/>
      <c r="L7" s="265"/>
      <c r="M7" s="265"/>
      <c r="N7" s="265"/>
    </row>
    <row r="8" spans="1:14" x14ac:dyDescent="0.25">
      <c r="A8" s="266" t="s">
        <v>1576</v>
      </c>
      <c r="B8" s="267" t="s">
        <v>1577</v>
      </c>
      <c r="C8" s="268">
        <v>5</v>
      </c>
      <c r="D8" s="267" t="s">
        <v>1578</v>
      </c>
      <c r="E8" s="268">
        <v>1</v>
      </c>
      <c r="F8" s="268" t="s">
        <v>1556</v>
      </c>
      <c r="G8" s="267" t="s">
        <v>1579</v>
      </c>
      <c r="H8" s="268" t="s">
        <v>1549</v>
      </c>
      <c r="I8" s="268" t="s">
        <v>1558</v>
      </c>
      <c r="J8" s="268" t="s">
        <v>1551</v>
      </c>
      <c r="K8" s="268"/>
      <c r="L8" s="268"/>
      <c r="M8" s="268" t="s">
        <v>1580</v>
      </c>
      <c r="N8" s="268">
        <v>3</v>
      </c>
    </row>
    <row r="9" spans="1:14" x14ac:dyDescent="0.25">
      <c r="A9" s="269" t="s">
        <v>2</v>
      </c>
      <c r="B9" s="264" t="s">
        <v>1581</v>
      </c>
      <c r="C9" s="265">
        <v>6</v>
      </c>
      <c r="D9" s="264" t="s">
        <v>1582</v>
      </c>
      <c r="E9" s="265">
        <v>4</v>
      </c>
      <c r="F9" s="265" t="s">
        <v>1583</v>
      </c>
      <c r="G9" s="264" t="s">
        <v>1584</v>
      </c>
      <c r="H9" s="265" t="s">
        <v>1549</v>
      </c>
      <c r="I9" s="265" t="s">
        <v>1550</v>
      </c>
      <c r="J9" s="265" t="s">
        <v>1551</v>
      </c>
      <c r="K9" s="265"/>
      <c r="L9" s="265"/>
      <c r="M9" s="265" t="s">
        <v>1585</v>
      </c>
      <c r="N9" s="265">
        <v>2</v>
      </c>
    </row>
    <row r="10" spans="1:14" x14ac:dyDescent="0.25">
      <c r="A10" s="266" t="s">
        <v>1586</v>
      </c>
      <c r="B10" s="267" t="s">
        <v>1587</v>
      </c>
      <c r="C10" s="268">
        <v>9</v>
      </c>
      <c r="D10" s="267" t="s">
        <v>1588</v>
      </c>
      <c r="E10" s="268">
        <v>4</v>
      </c>
      <c r="F10" s="268"/>
      <c r="G10" s="267" t="s">
        <v>1589</v>
      </c>
      <c r="H10" s="268" t="s">
        <v>1565</v>
      </c>
      <c r="I10" s="268" t="s">
        <v>1566</v>
      </c>
      <c r="J10" s="268" t="s">
        <v>1551</v>
      </c>
      <c r="K10" s="268"/>
      <c r="L10" s="268"/>
      <c r="M10" s="268" t="s">
        <v>1590</v>
      </c>
      <c r="N10" s="268"/>
    </row>
    <row r="11" spans="1:14" x14ac:dyDescent="0.25">
      <c r="A11" s="269" t="s">
        <v>1591</v>
      </c>
      <c r="B11" s="264" t="s">
        <v>1592</v>
      </c>
      <c r="C11" s="265">
        <v>5</v>
      </c>
      <c r="D11" s="264" t="s">
        <v>1593</v>
      </c>
      <c r="E11" s="265">
        <v>1</v>
      </c>
      <c r="F11" s="265"/>
      <c r="G11" s="264" t="s">
        <v>1594</v>
      </c>
      <c r="H11" s="265" t="s">
        <v>1565</v>
      </c>
      <c r="I11" s="265" t="s">
        <v>1566</v>
      </c>
      <c r="J11" s="265" t="s">
        <v>1551</v>
      </c>
      <c r="K11" s="265"/>
      <c r="L11" s="265"/>
      <c r="M11" s="265" t="s">
        <v>1595</v>
      </c>
      <c r="N11" s="265">
        <v>2</v>
      </c>
    </row>
    <row r="12" spans="1:14" x14ac:dyDescent="0.25">
      <c r="A12" s="269" t="s">
        <v>1596</v>
      </c>
      <c r="B12" s="264" t="s">
        <v>1597</v>
      </c>
      <c r="C12" s="265">
        <v>5</v>
      </c>
      <c r="D12" s="264" t="s">
        <v>1598</v>
      </c>
      <c r="E12" s="265">
        <v>1</v>
      </c>
      <c r="F12" s="265"/>
      <c r="G12" s="264">
        <v>114481001</v>
      </c>
      <c r="H12" s="265" t="s">
        <v>1565</v>
      </c>
      <c r="I12" s="265"/>
      <c r="J12" s="265" t="s">
        <v>1551</v>
      </c>
      <c r="K12" s="265"/>
      <c r="L12" s="265"/>
      <c r="M12" s="265" t="s">
        <v>1599</v>
      </c>
      <c r="N12" s="265"/>
    </row>
    <row r="13" spans="1:14" x14ac:dyDescent="0.25">
      <c r="A13" s="266" t="s">
        <v>1600</v>
      </c>
      <c r="B13" s="267" t="s">
        <v>1601</v>
      </c>
      <c r="C13" s="268">
        <v>5</v>
      </c>
      <c r="D13" s="267" t="s">
        <v>1602</v>
      </c>
      <c r="E13" s="268">
        <v>1</v>
      </c>
      <c r="F13" s="268" t="s">
        <v>1603</v>
      </c>
      <c r="G13" s="267">
        <v>1165705202</v>
      </c>
      <c r="H13" s="268" t="s">
        <v>1549</v>
      </c>
      <c r="I13" s="268" t="s">
        <v>1558</v>
      </c>
      <c r="J13" s="268" t="s">
        <v>1604</v>
      </c>
      <c r="K13" s="268"/>
      <c r="L13" s="268"/>
      <c r="M13" s="268" t="s">
        <v>1580</v>
      </c>
      <c r="N13" s="268">
        <v>2</v>
      </c>
    </row>
    <row r="14" spans="1:14" x14ac:dyDescent="0.25">
      <c r="A14" s="269" t="s">
        <v>1605</v>
      </c>
      <c r="B14" s="264" t="s">
        <v>1606</v>
      </c>
      <c r="C14" s="265">
        <v>5</v>
      </c>
      <c r="D14" s="264" t="s">
        <v>1607</v>
      </c>
      <c r="E14" s="265"/>
      <c r="F14" s="265"/>
      <c r="G14" s="264">
        <v>1135975082</v>
      </c>
      <c r="H14" s="265" t="s">
        <v>1608</v>
      </c>
      <c r="I14" s="265" t="s">
        <v>1609</v>
      </c>
      <c r="J14" s="265" t="s">
        <v>1604</v>
      </c>
      <c r="K14" s="265"/>
      <c r="L14" s="265"/>
      <c r="M14" s="265"/>
      <c r="N14" s="265"/>
    </row>
    <row r="15" spans="1:14" x14ac:dyDescent="0.25">
      <c r="A15" s="266" t="s">
        <v>1610</v>
      </c>
      <c r="B15" s="267" t="s">
        <v>1611</v>
      </c>
      <c r="C15" s="268">
        <v>7</v>
      </c>
      <c r="D15" s="267" t="s">
        <v>1612</v>
      </c>
      <c r="E15" s="268"/>
      <c r="F15" s="268" t="s">
        <v>1556</v>
      </c>
      <c r="G15" s="267" t="s">
        <v>1613</v>
      </c>
      <c r="H15" s="268" t="s">
        <v>1549</v>
      </c>
      <c r="I15" s="268" t="s">
        <v>1614</v>
      </c>
      <c r="J15" s="268" t="s">
        <v>1558</v>
      </c>
      <c r="K15" s="268"/>
      <c r="L15" s="268" t="s">
        <v>1559</v>
      </c>
      <c r="M15" s="268" t="s">
        <v>1615</v>
      </c>
      <c r="N15" s="268">
        <v>2</v>
      </c>
    </row>
    <row r="16" spans="1:14" x14ac:dyDescent="0.25">
      <c r="A16" s="266" t="s">
        <v>1616</v>
      </c>
      <c r="B16" s="267" t="s">
        <v>1617</v>
      </c>
      <c r="C16" s="268">
        <v>5</v>
      </c>
      <c r="D16" s="267" t="s">
        <v>1618</v>
      </c>
      <c r="E16" s="268">
        <v>7</v>
      </c>
      <c r="F16" s="268"/>
      <c r="G16" s="267" t="s">
        <v>1619</v>
      </c>
      <c r="H16" s="268" t="s">
        <v>1565</v>
      </c>
      <c r="I16" s="268" t="s">
        <v>1566</v>
      </c>
      <c r="J16" s="268" t="s">
        <v>1551</v>
      </c>
      <c r="K16" s="268"/>
      <c r="L16" s="268"/>
      <c r="M16" s="268" t="s">
        <v>1620</v>
      </c>
      <c r="N16" s="268">
        <v>2</v>
      </c>
    </row>
    <row r="17" spans="1:14" x14ac:dyDescent="0.25">
      <c r="A17" s="269" t="s">
        <v>1621</v>
      </c>
      <c r="B17" s="264" t="s">
        <v>1622</v>
      </c>
      <c r="C17" s="265">
        <v>5</v>
      </c>
      <c r="D17" s="264" t="s">
        <v>1623</v>
      </c>
      <c r="E17" s="265">
        <v>8</v>
      </c>
      <c r="F17" s="265" t="s">
        <v>1624</v>
      </c>
      <c r="G17" s="264" t="s">
        <v>1625</v>
      </c>
      <c r="H17" s="265" t="s">
        <v>1549</v>
      </c>
      <c r="I17" s="265" t="s">
        <v>1550</v>
      </c>
      <c r="J17" s="265" t="s">
        <v>1551</v>
      </c>
      <c r="K17" s="265"/>
      <c r="L17" s="265"/>
      <c r="M17" s="265" t="s">
        <v>1626</v>
      </c>
      <c r="N17" s="265">
        <v>3</v>
      </c>
    </row>
    <row r="18" spans="1:14" x14ac:dyDescent="0.25">
      <c r="A18" s="266" t="s">
        <v>1627</v>
      </c>
      <c r="B18" s="267" t="s">
        <v>1628</v>
      </c>
      <c r="C18" s="268">
        <v>5</v>
      </c>
      <c r="D18" s="267" t="s">
        <v>1629</v>
      </c>
      <c r="E18" s="268">
        <v>1</v>
      </c>
      <c r="F18" s="268"/>
      <c r="G18" s="267" t="s">
        <v>1630</v>
      </c>
      <c r="H18" s="268" t="s">
        <v>1565</v>
      </c>
      <c r="I18" s="268" t="s">
        <v>1566</v>
      </c>
      <c r="J18" s="268" t="s">
        <v>1551</v>
      </c>
      <c r="K18" s="268"/>
      <c r="L18" s="268"/>
      <c r="M18" s="268" t="s">
        <v>1620</v>
      </c>
      <c r="N18" s="268">
        <v>2</v>
      </c>
    </row>
    <row r="19" spans="1:14" x14ac:dyDescent="0.25">
      <c r="A19" s="269" t="s">
        <v>1631</v>
      </c>
      <c r="B19" s="264" t="s">
        <v>1632</v>
      </c>
      <c r="C19" s="265">
        <v>5</v>
      </c>
      <c r="D19" s="264" t="s">
        <v>1633</v>
      </c>
      <c r="E19" s="265">
        <v>9</v>
      </c>
      <c r="F19" s="265"/>
      <c r="G19" s="264" t="s">
        <v>1634</v>
      </c>
      <c r="H19" s="265" t="s">
        <v>1565</v>
      </c>
      <c r="I19" s="265" t="s">
        <v>1566</v>
      </c>
      <c r="J19" s="265" t="s">
        <v>1551</v>
      </c>
      <c r="K19" s="265"/>
      <c r="L19" s="265"/>
      <c r="M19" s="265" t="s">
        <v>1635</v>
      </c>
      <c r="N19" s="265">
        <v>3</v>
      </c>
    </row>
    <row r="20" spans="1:14" x14ac:dyDescent="0.25">
      <c r="A20" s="266" t="s">
        <v>1636</v>
      </c>
      <c r="B20" s="267" t="s">
        <v>1637</v>
      </c>
      <c r="C20" s="268">
        <v>5</v>
      </c>
      <c r="D20" s="267" t="s">
        <v>1638</v>
      </c>
      <c r="E20" s="268">
        <v>10</v>
      </c>
      <c r="F20" s="268"/>
      <c r="G20" s="267" t="s">
        <v>1639</v>
      </c>
      <c r="H20" s="268"/>
      <c r="I20" s="268"/>
      <c r="J20" s="268"/>
      <c r="K20" s="268"/>
      <c r="L20" s="268"/>
      <c r="M20" s="268" t="s">
        <v>1635</v>
      </c>
      <c r="N20" s="268">
        <v>3</v>
      </c>
    </row>
    <row r="21" spans="1:14" x14ac:dyDescent="0.25">
      <c r="A21" s="269" t="s">
        <v>1640</v>
      </c>
      <c r="B21" s="264" t="s">
        <v>1641</v>
      </c>
      <c r="C21" s="265">
        <v>5</v>
      </c>
      <c r="D21" s="264" t="s">
        <v>1642</v>
      </c>
      <c r="E21" s="265">
        <v>2</v>
      </c>
      <c r="F21" s="265"/>
      <c r="G21" s="264" t="s">
        <v>1643</v>
      </c>
      <c r="H21" s="265" t="s">
        <v>1565</v>
      </c>
      <c r="I21" s="265" t="s">
        <v>1566</v>
      </c>
      <c r="J21" s="265" t="s">
        <v>1551</v>
      </c>
      <c r="K21" s="265"/>
      <c r="L21" s="265"/>
      <c r="M21" s="265" t="s">
        <v>1644</v>
      </c>
      <c r="N21" s="265">
        <v>3</v>
      </c>
    </row>
    <row r="22" spans="1:14" x14ac:dyDescent="0.25">
      <c r="A22" s="266" t="s">
        <v>1645</v>
      </c>
      <c r="B22" s="267" t="s">
        <v>1646</v>
      </c>
      <c r="C22" s="268">
        <v>5</v>
      </c>
      <c r="D22" s="267" t="s">
        <v>1647</v>
      </c>
      <c r="E22" s="268"/>
      <c r="F22" s="268"/>
      <c r="G22" s="267">
        <v>1151458641</v>
      </c>
      <c r="H22" s="268" t="s">
        <v>1565</v>
      </c>
      <c r="I22" s="268" t="s">
        <v>1648</v>
      </c>
      <c r="J22" s="268" t="s">
        <v>1649</v>
      </c>
      <c r="K22" s="268"/>
      <c r="L22" s="268"/>
      <c r="M22" s="268" t="s">
        <v>1650</v>
      </c>
      <c r="N22" s="268">
        <v>2</v>
      </c>
    </row>
    <row r="23" spans="1:14" x14ac:dyDescent="0.25">
      <c r="A23" s="269" t="s">
        <v>1651</v>
      </c>
      <c r="B23" s="264" t="s">
        <v>1652</v>
      </c>
      <c r="C23" s="265">
        <v>5</v>
      </c>
      <c r="D23" s="264" t="s">
        <v>1602</v>
      </c>
      <c r="E23" s="265">
        <v>11</v>
      </c>
      <c r="F23" s="265" t="s">
        <v>1653</v>
      </c>
      <c r="G23" s="264" t="s">
        <v>1654</v>
      </c>
      <c r="H23" s="265" t="s">
        <v>1549</v>
      </c>
      <c r="I23" s="265" t="s">
        <v>1558</v>
      </c>
      <c r="J23" s="265" t="s">
        <v>1604</v>
      </c>
      <c r="K23" s="265" t="s">
        <v>1655</v>
      </c>
      <c r="L23" s="265" t="s">
        <v>1656</v>
      </c>
      <c r="M23" s="265" t="s">
        <v>1567</v>
      </c>
      <c r="N23" s="265">
        <v>2</v>
      </c>
    </row>
    <row r="24" spans="1:14" x14ac:dyDescent="0.25">
      <c r="A24" s="266" t="s">
        <v>1657</v>
      </c>
      <c r="B24" s="267" t="s">
        <v>1658</v>
      </c>
      <c r="C24" s="268">
        <v>5</v>
      </c>
      <c r="D24" s="267" t="s">
        <v>1659</v>
      </c>
      <c r="E24" s="268"/>
      <c r="F24" s="268"/>
      <c r="G24" s="267"/>
      <c r="H24" s="268"/>
      <c r="I24" s="268"/>
      <c r="J24" s="268"/>
      <c r="K24" s="268"/>
      <c r="L24" s="268"/>
      <c r="M24" s="268"/>
      <c r="N24" s="268"/>
    </row>
    <row r="25" spans="1:14" x14ac:dyDescent="0.25">
      <c r="A25" s="269" t="s">
        <v>1660</v>
      </c>
      <c r="B25" s="264" t="s">
        <v>1661</v>
      </c>
      <c r="C25" s="265">
        <v>5</v>
      </c>
      <c r="D25" s="264" t="s">
        <v>1662</v>
      </c>
      <c r="E25" s="265"/>
      <c r="F25" s="265"/>
      <c r="G25" s="264" t="s">
        <v>1663</v>
      </c>
      <c r="H25" s="265"/>
      <c r="I25" s="265"/>
      <c r="J25" s="265" t="s">
        <v>1664</v>
      </c>
      <c r="K25" s="265"/>
      <c r="L25" s="265"/>
      <c r="M25" s="265"/>
      <c r="N25" s="265"/>
    </row>
    <row r="26" spans="1:14" x14ac:dyDescent="0.25">
      <c r="A26" s="266" t="s">
        <v>1665</v>
      </c>
      <c r="B26" s="267" t="s">
        <v>1666</v>
      </c>
      <c r="C26" s="268">
        <v>9</v>
      </c>
      <c r="D26" s="267" t="s">
        <v>1667</v>
      </c>
      <c r="E26" s="268">
        <v>12</v>
      </c>
      <c r="F26" s="268" t="s">
        <v>1556</v>
      </c>
      <c r="G26" s="267" t="s">
        <v>1668</v>
      </c>
      <c r="H26" s="268" t="s">
        <v>1549</v>
      </c>
      <c r="I26" s="268" t="s">
        <v>1558</v>
      </c>
      <c r="J26" s="268" t="s">
        <v>1551</v>
      </c>
      <c r="K26" s="268"/>
      <c r="L26" s="268"/>
      <c r="M26" s="268" t="s">
        <v>1669</v>
      </c>
      <c r="N26" s="268">
        <v>2</v>
      </c>
    </row>
    <row r="27" spans="1:14" x14ac:dyDescent="0.25">
      <c r="A27" s="269" t="s">
        <v>1670</v>
      </c>
      <c r="B27" s="264" t="s">
        <v>1671</v>
      </c>
      <c r="C27" s="265">
        <v>5</v>
      </c>
      <c r="D27" s="264" t="s">
        <v>1672</v>
      </c>
      <c r="E27" s="265">
        <v>13</v>
      </c>
      <c r="F27" s="265" t="s">
        <v>1556</v>
      </c>
      <c r="G27" s="264" t="s">
        <v>1673</v>
      </c>
      <c r="H27" s="265" t="s">
        <v>1549</v>
      </c>
      <c r="I27" s="265" t="s">
        <v>1558</v>
      </c>
      <c r="J27" s="265" t="s">
        <v>1551</v>
      </c>
      <c r="K27" s="265"/>
      <c r="L27" s="265"/>
      <c r="M27" s="265" t="s">
        <v>1674</v>
      </c>
      <c r="N27" s="265">
        <v>3</v>
      </c>
    </row>
    <row r="28" spans="1:14" x14ac:dyDescent="0.25">
      <c r="A28" s="266" t="s">
        <v>1675</v>
      </c>
      <c r="B28" s="267" t="s">
        <v>1676</v>
      </c>
      <c r="C28" s="268">
        <v>5</v>
      </c>
      <c r="D28" s="267" t="s">
        <v>1677</v>
      </c>
      <c r="E28" s="268">
        <v>1</v>
      </c>
      <c r="F28" s="268" t="s">
        <v>1678</v>
      </c>
      <c r="G28" s="267" t="s">
        <v>1679</v>
      </c>
      <c r="H28" s="268" t="s">
        <v>1549</v>
      </c>
      <c r="I28" s="268" t="s">
        <v>1550</v>
      </c>
      <c r="J28" s="268" t="s">
        <v>1551</v>
      </c>
      <c r="K28" s="268" t="s">
        <v>1550</v>
      </c>
      <c r="L28" s="268" t="s">
        <v>1559</v>
      </c>
      <c r="M28" s="268" t="s">
        <v>1680</v>
      </c>
      <c r="N28" s="268">
        <v>3</v>
      </c>
    </row>
    <row r="29" spans="1:14" x14ac:dyDescent="0.25">
      <c r="A29" s="269" t="s">
        <v>1681</v>
      </c>
      <c r="B29" s="264" t="s">
        <v>1682</v>
      </c>
      <c r="C29" s="265">
        <v>5</v>
      </c>
      <c r="D29" s="264" t="s">
        <v>1683</v>
      </c>
      <c r="E29" s="265"/>
      <c r="F29" s="265"/>
      <c r="G29" s="264" t="s">
        <v>1684</v>
      </c>
      <c r="H29" s="265" t="s">
        <v>1549</v>
      </c>
      <c r="I29" s="265"/>
      <c r="J29" s="265"/>
      <c r="K29" s="265"/>
      <c r="L29" s="265"/>
      <c r="M29" s="265" t="s">
        <v>1685</v>
      </c>
      <c r="N29" s="265"/>
    </row>
    <row r="30" spans="1:14" x14ac:dyDescent="0.25">
      <c r="A30" s="266" t="s">
        <v>1686</v>
      </c>
      <c r="B30" s="267"/>
      <c r="C30" s="268"/>
      <c r="D30" s="267"/>
      <c r="E30" s="268"/>
      <c r="F30" s="268"/>
      <c r="G30" s="267"/>
      <c r="H30" s="268"/>
      <c r="I30" s="268"/>
      <c r="J30" s="268"/>
      <c r="K30" s="268"/>
      <c r="L30" s="268"/>
      <c r="M30" s="268"/>
      <c r="N30" s="268"/>
    </row>
    <row r="31" spans="1:14" ht="15" customHeight="1" x14ac:dyDescent="0.25">
      <c r="A31" s="269" t="s">
        <v>1687</v>
      </c>
      <c r="B31" s="270" t="s">
        <v>1688</v>
      </c>
      <c r="C31" s="265">
        <v>7</v>
      </c>
      <c r="D31" s="264" t="s">
        <v>1689</v>
      </c>
      <c r="E31" s="265">
        <v>15</v>
      </c>
      <c r="F31" s="265" t="s">
        <v>1556</v>
      </c>
      <c r="G31" s="264" t="s">
        <v>1690</v>
      </c>
      <c r="H31" s="265" t="s">
        <v>1549</v>
      </c>
      <c r="I31" s="265" t="s">
        <v>1558</v>
      </c>
      <c r="J31" s="265" t="s">
        <v>1604</v>
      </c>
      <c r="K31" s="265" t="s">
        <v>1558</v>
      </c>
      <c r="L31" s="265" t="s">
        <v>1559</v>
      </c>
      <c r="M31" s="265" t="s">
        <v>1691</v>
      </c>
      <c r="N31" s="265">
        <v>3</v>
      </c>
    </row>
    <row r="32" spans="1:14" x14ac:dyDescent="0.25">
      <c r="A32" s="266" t="s">
        <v>1692</v>
      </c>
      <c r="B32" s="267" t="s">
        <v>1693</v>
      </c>
      <c r="C32" s="268">
        <v>5</v>
      </c>
      <c r="D32" s="267" t="s">
        <v>1694</v>
      </c>
      <c r="E32" s="268"/>
      <c r="F32" s="268"/>
      <c r="G32" s="267"/>
      <c r="H32" s="268"/>
      <c r="I32" s="268"/>
      <c r="J32" s="268"/>
      <c r="K32" s="268"/>
      <c r="L32" s="268"/>
      <c r="M32" s="268"/>
      <c r="N32" s="268"/>
    </row>
    <row r="33" spans="1:14" x14ac:dyDescent="0.25">
      <c r="A33" s="269" t="s">
        <v>1695</v>
      </c>
      <c r="B33" s="264" t="s">
        <v>1696</v>
      </c>
      <c r="C33" s="265">
        <v>9</v>
      </c>
      <c r="D33" s="264" t="s">
        <v>1697</v>
      </c>
      <c r="E33" s="265">
        <v>1</v>
      </c>
      <c r="F33" s="265" t="s">
        <v>1698</v>
      </c>
      <c r="G33" s="264" t="s">
        <v>1699</v>
      </c>
      <c r="H33" s="265" t="s">
        <v>1549</v>
      </c>
      <c r="I33" s="265" t="s">
        <v>1558</v>
      </c>
      <c r="J33" s="265" t="s">
        <v>1604</v>
      </c>
      <c r="K33" s="265" t="s">
        <v>1558</v>
      </c>
      <c r="L33" s="265" t="s">
        <v>1559</v>
      </c>
      <c r="M33" s="265" t="s">
        <v>1620</v>
      </c>
      <c r="N33" s="265">
        <v>2</v>
      </c>
    </row>
    <row r="34" spans="1:14" x14ac:dyDescent="0.25">
      <c r="A34" s="266" t="s">
        <v>1700</v>
      </c>
      <c r="B34" s="267" t="s">
        <v>1701</v>
      </c>
      <c r="C34" s="268">
        <v>5</v>
      </c>
      <c r="D34" s="267"/>
      <c r="E34" s="268">
        <v>16</v>
      </c>
      <c r="F34" s="268" t="s">
        <v>1556</v>
      </c>
      <c r="G34" s="267" t="s">
        <v>1702</v>
      </c>
      <c r="H34" s="268" t="s">
        <v>1549</v>
      </c>
      <c r="I34" s="268" t="s">
        <v>1558</v>
      </c>
      <c r="J34" s="268" t="s">
        <v>1551</v>
      </c>
      <c r="K34" s="268"/>
      <c r="L34" s="268"/>
      <c r="M34" s="268" t="s">
        <v>1703</v>
      </c>
      <c r="N34" s="268"/>
    </row>
    <row r="35" spans="1:14" x14ac:dyDescent="0.25">
      <c r="A35" s="269" t="s">
        <v>1704</v>
      </c>
      <c r="B35" s="264" t="s">
        <v>1705</v>
      </c>
      <c r="C35" s="265">
        <v>5</v>
      </c>
      <c r="D35" s="264" t="s">
        <v>1706</v>
      </c>
      <c r="E35" s="265">
        <v>1</v>
      </c>
      <c r="F35" s="265"/>
      <c r="G35" s="264" t="s">
        <v>1707</v>
      </c>
      <c r="H35" s="265" t="s">
        <v>1565</v>
      </c>
      <c r="I35" s="265" t="s">
        <v>1566</v>
      </c>
      <c r="J35" s="265" t="s">
        <v>1551</v>
      </c>
      <c r="K35" s="265"/>
      <c r="L35" s="265"/>
      <c r="M35" s="265" t="s">
        <v>1620</v>
      </c>
      <c r="N35" s="265">
        <v>2</v>
      </c>
    </row>
    <row r="36" spans="1:14" x14ac:dyDescent="0.25">
      <c r="A36" s="266" t="s">
        <v>1708</v>
      </c>
      <c r="B36" s="267" t="s">
        <v>1709</v>
      </c>
      <c r="C36" s="268">
        <v>5</v>
      </c>
      <c r="D36" s="267" t="s">
        <v>1710</v>
      </c>
      <c r="E36" s="268">
        <v>13</v>
      </c>
      <c r="F36" s="268"/>
      <c r="G36" s="267">
        <v>1140895492</v>
      </c>
      <c r="H36" s="268"/>
      <c r="I36" s="268"/>
      <c r="J36" s="268" t="s">
        <v>1551</v>
      </c>
      <c r="K36" s="268"/>
      <c r="L36" s="268"/>
      <c r="M36" s="268" t="s">
        <v>1711</v>
      </c>
      <c r="N36" s="268"/>
    </row>
    <row r="37" spans="1:14" x14ac:dyDescent="0.25">
      <c r="A37" s="269" t="s">
        <v>1712</v>
      </c>
      <c r="B37" s="264" t="s">
        <v>1713</v>
      </c>
      <c r="C37" s="265">
        <v>5</v>
      </c>
      <c r="D37" s="264" t="s">
        <v>1714</v>
      </c>
      <c r="E37" s="265">
        <v>1</v>
      </c>
      <c r="F37" s="265"/>
      <c r="G37" s="264" t="s">
        <v>1715</v>
      </c>
      <c r="H37" s="265"/>
      <c r="I37" s="265"/>
      <c r="J37" s="265"/>
      <c r="K37" s="265"/>
      <c r="L37" s="265"/>
      <c r="M37" s="265" t="s">
        <v>1716</v>
      </c>
      <c r="N37" s="265"/>
    </row>
    <row r="38" spans="1:14" x14ac:dyDescent="0.25">
      <c r="A38" s="266" t="s">
        <v>1717</v>
      </c>
      <c r="B38" s="267" t="s">
        <v>1718</v>
      </c>
      <c r="C38" s="268">
        <v>5</v>
      </c>
      <c r="D38" s="267" t="s">
        <v>1719</v>
      </c>
      <c r="E38" s="268">
        <v>1</v>
      </c>
      <c r="F38" s="268" t="s">
        <v>1556</v>
      </c>
      <c r="G38" s="267" t="s">
        <v>1720</v>
      </c>
      <c r="H38" s="268" t="s">
        <v>1549</v>
      </c>
      <c r="I38" s="268" t="s">
        <v>1558</v>
      </c>
      <c r="J38" s="268" t="s">
        <v>1721</v>
      </c>
      <c r="K38" s="268" t="s">
        <v>1722</v>
      </c>
      <c r="L38" s="268" t="s">
        <v>1656</v>
      </c>
      <c r="M38" s="268" t="s">
        <v>1716</v>
      </c>
      <c r="N38" s="268"/>
    </row>
    <row r="39" spans="1:14" x14ac:dyDescent="0.25">
      <c r="A39" s="269" t="s">
        <v>1723</v>
      </c>
      <c r="B39" s="264" t="s">
        <v>1724</v>
      </c>
      <c r="C39" s="265">
        <v>5</v>
      </c>
      <c r="D39" s="264" t="s">
        <v>1714</v>
      </c>
      <c r="E39" s="265">
        <v>11</v>
      </c>
      <c r="F39" s="265"/>
      <c r="G39" s="264" t="s">
        <v>1725</v>
      </c>
      <c r="H39" s="265" t="s">
        <v>1726</v>
      </c>
      <c r="I39" s="265" t="s">
        <v>1648</v>
      </c>
      <c r="J39" s="265" t="s">
        <v>1727</v>
      </c>
      <c r="K39" s="265"/>
      <c r="L39" s="265"/>
      <c r="M39" s="265"/>
      <c r="N39" s="265"/>
    </row>
    <row r="40" spans="1:14" x14ac:dyDescent="0.25">
      <c r="A40" s="269" t="s">
        <v>1728</v>
      </c>
      <c r="B40" s="264" t="s">
        <v>1729</v>
      </c>
      <c r="C40" s="265">
        <v>6</v>
      </c>
      <c r="D40" s="264" t="s">
        <v>1730</v>
      </c>
      <c r="E40" s="265"/>
      <c r="F40" s="265"/>
      <c r="G40" s="264"/>
      <c r="H40" s="265" t="s">
        <v>1549</v>
      </c>
      <c r="I40" s="265"/>
      <c r="J40" s="265"/>
      <c r="K40" s="265"/>
      <c r="L40" s="265"/>
      <c r="M40" s="265" t="s">
        <v>1731</v>
      </c>
      <c r="N40" s="265"/>
    </row>
    <row r="41" spans="1:14" x14ac:dyDescent="0.25">
      <c r="A41" s="266" t="s">
        <v>1732</v>
      </c>
      <c r="B41" s="267" t="s">
        <v>1733</v>
      </c>
      <c r="C41" s="268">
        <v>5</v>
      </c>
      <c r="D41" s="267" t="s">
        <v>1734</v>
      </c>
      <c r="E41" s="268"/>
      <c r="F41" s="268"/>
      <c r="G41" s="267"/>
      <c r="H41" s="268" t="s">
        <v>1549</v>
      </c>
      <c r="I41" s="268" t="s">
        <v>1735</v>
      </c>
      <c r="J41" s="268"/>
      <c r="K41" s="268"/>
      <c r="L41" s="268"/>
      <c r="M41" s="271">
        <v>0.25</v>
      </c>
      <c r="N41" s="268"/>
    </row>
    <row r="42" spans="1:14" x14ac:dyDescent="0.25">
      <c r="A42" s="269" t="s">
        <v>1736</v>
      </c>
      <c r="B42" s="264" t="s">
        <v>1737</v>
      </c>
      <c r="C42" s="265">
        <v>5</v>
      </c>
      <c r="D42" s="264" t="s">
        <v>1714</v>
      </c>
      <c r="E42" s="265">
        <v>1</v>
      </c>
      <c r="F42" s="265" t="s">
        <v>1678</v>
      </c>
      <c r="G42" s="264" t="s">
        <v>1738</v>
      </c>
      <c r="H42" s="265" t="s">
        <v>1549</v>
      </c>
      <c r="I42" s="265" t="s">
        <v>1550</v>
      </c>
      <c r="J42" s="265" t="s">
        <v>1551</v>
      </c>
      <c r="K42" s="265" t="s">
        <v>1550</v>
      </c>
      <c r="L42" s="265"/>
      <c r="M42" s="265" t="s">
        <v>1739</v>
      </c>
      <c r="N42" s="265"/>
    </row>
    <row r="43" spans="1:14" x14ac:dyDescent="0.25">
      <c r="A43" s="266" t="s">
        <v>1740</v>
      </c>
      <c r="B43" s="267" t="s">
        <v>1741</v>
      </c>
      <c r="C43" s="268">
        <v>5</v>
      </c>
      <c r="D43" s="267" t="s">
        <v>1742</v>
      </c>
      <c r="E43" s="268">
        <v>17</v>
      </c>
      <c r="F43" s="268" t="s">
        <v>1556</v>
      </c>
      <c r="G43" s="267" t="s">
        <v>1743</v>
      </c>
      <c r="H43" s="268" t="s">
        <v>1549</v>
      </c>
      <c r="I43" s="268" t="s">
        <v>1558</v>
      </c>
      <c r="J43" s="268" t="s">
        <v>1744</v>
      </c>
      <c r="K43" s="268" t="s">
        <v>1558</v>
      </c>
      <c r="L43" s="268" t="s">
        <v>1559</v>
      </c>
      <c r="M43" s="268"/>
      <c r="N43" s="268"/>
    </row>
    <row r="44" spans="1:14" x14ac:dyDescent="0.25">
      <c r="A44" s="269" t="s">
        <v>1745</v>
      </c>
      <c r="B44" s="264" t="s">
        <v>1746</v>
      </c>
      <c r="C44" s="265">
        <v>5</v>
      </c>
      <c r="D44" s="264" t="s">
        <v>1747</v>
      </c>
      <c r="E44" s="265">
        <v>18</v>
      </c>
      <c r="F44" s="265"/>
      <c r="G44" s="264">
        <v>1131217957</v>
      </c>
      <c r="H44" s="265" t="s">
        <v>1726</v>
      </c>
      <c r="I44" s="265" t="s">
        <v>1609</v>
      </c>
      <c r="J44" s="265" t="s">
        <v>1664</v>
      </c>
      <c r="K44" s="265"/>
      <c r="L44" s="265"/>
      <c r="M44" s="265" t="s">
        <v>1748</v>
      </c>
      <c r="N44" s="265">
        <v>2</v>
      </c>
    </row>
    <row r="45" spans="1:14" x14ac:dyDescent="0.25">
      <c r="A45" s="266" t="s">
        <v>1749</v>
      </c>
      <c r="B45" s="267" t="s">
        <v>1750</v>
      </c>
      <c r="C45" s="268">
        <v>5</v>
      </c>
      <c r="D45" s="267" t="s">
        <v>1751</v>
      </c>
      <c r="E45" s="268"/>
      <c r="F45" s="268"/>
      <c r="G45" s="267" t="s">
        <v>1752</v>
      </c>
      <c r="H45" s="268" t="s">
        <v>1549</v>
      </c>
      <c r="I45" s="268" t="s">
        <v>1735</v>
      </c>
      <c r="J45" s="268"/>
      <c r="K45" s="268"/>
      <c r="L45" s="268"/>
      <c r="M45" s="268" t="s">
        <v>1753</v>
      </c>
      <c r="N45" s="268"/>
    </row>
    <row r="46" spans="1:14" x14ac:dyDescent="0.25">
      <c r="A46" s="269" t="s">
        <v>1754</v>
      </c>
      <c r="B46" s="264" t="s">
        <v>1755</v>
      </c>
      <c r="C46" s="265">
        <v>6</v>
      </c>
      <c r="D46" s="264" t="s">
        <v>1756</v>
      </c>
      <c r="E46" s="265">
        <v>19</v>
      </c>
      <c r="F46" s="265"/>
      <c r="G46" s="264" t="s">
        <v>1757</v>
      </c>
      <c r="H46" s="265" t="s">
        <v>1549</v>
      </c>
      <c r="I46" s="265" t="s">
        <v>1551</v>
      </c>
      <c r="J46" s="265" t="s">
        <v>1758</v>
      </c>
      <c r="K46" s="265"/>
      <c r="L46" s="265"/>
      <c r="M46" s="265" t="s">
        <v>1759</v>
      </c>
      <c r="N46" s="265">
        <v>2</v>
      </c>
    </row>
    <row r="47" spans="1:14" x14ac:dyDescent="0.25">
      <c r="A47" s="266" t="s">
        <v>1760</v>
      </c>
      <c r="B47" s="267"/>
      <c r="C47" s="268"/>
      <c r="D47" s="267"/>
      <c r="E47" s="268"/>
      <c r="F47" s="268"/>
      <c r="G47" s="267"/>
      <c r="H47" s="268"/>
      <c r="I47" s="268"/>
      <c r="J47" s="268"/>
      <c r="K47" s="268"/>
      <c r="L47" s="268"/>
      <c r="M47" s="268"/>
      <c r="N47" s="268"/>
    </row>
    <row r="48" spans="1:14" x14ac:dyDescent="0.25">
      <c r="A48" s="269" t="s">
        <v>1761</v>
      </c>
      <c r="B48" s="264" t="s">
        <v>1762</v>
      </c>
      <c r="C48" s="265">
        <v>5</v>
      </c>
      <c r="D48" s="264" t="s">
        <v>1763</v>
      </c>
      <c r="E48" s="265">
        <v>20</v>
      </c>
      <c r="F48" s="265" t="s">
        <v>1556</v>
      </c>
      <c r="G48" s="264" t="s">
        <v>1764</v>
      </c>
      <c r="H48" s="265" t="s">
        <v>1549</v>
      </c>
      <c r="I48" s="265" t="s">
        <v>1558</v>
      </c>
      <c r="J48" s="265" t="s">
        <v>1551</v>
      </c>
      <c r="K48" s="265"/>
      <c r="L48" s="265"/>
      <c r="M48" s="265" t="s">
        <v>1765</v>
      </c>
      <c r="N48" s="265">
        <v>1</v>
      </c>
    </row>
    <row r="49" spans="1:14" x14ac:dyDescent="0.25">
      <c r="A49" s="266" t="s">
        <v>1766</v>
      </c>
      <c r="B49" s="267" t="s">
        <v>1767</v>
      </c>
      <c r="C49" s="268">
        <v>5</v>
      </c>
      <c r="D49" s="267" t="s">
        <v>1768</v>
      </c>
      <c r="E49" s="268"/>
      <c r="F49" s="268" t="s">
        <v>1769</v>
      </c>
      <c r="G49" s="267" t="s">
        <v>1770</v>
      </c>
      <c r="H49" s="268" t="s">
        <v>1726</v>
      </c>
      <c r="I49" s="268"/>
      <c r="J49" s="268" t="s">
        <v>1551</v>
      </c>
      <c r="K49" s="268"/>
      <c r="L49" s="268"/>
      <c r="M49" s="268" t="s">
        <v>1771</v>
      </c>
      <c r="N49" s="268"/>
    </row>
    <row r="50" spans="1:14" x14ac:dyDescent="0.25">
      <c r="A50" s="269" t="s">
        <v>1772</v>
      </c>
      <c r="B50" s="264" t="s">
        <v>1773</v>
      </c>
      <c r="C50" s="265">
        <v>5</v>
      </c>
      <c r="D50" s="264" t="s">
        <v>1774</v>
      </c>
      <c r="E50" s="265">
        <v>21</v>
      </c>
      <c r="F50" s="265"/>
      <c r="G50" s="264" t="s">
        <v>1775</v>
      </c>
      <c r="H50" s="265" t="s">
        <v>1565</v>
      </c>
      <c r="I50" s="265" t="s">
        <v>1566</v>
      </c>
      <c r="J50" s="265" t="s">
        <v>1551</v>
      </c>
      <c r="K50" s="265"/>
      <c r="L50" s="265" t="s">
        <v>1550</v>
      </c>
      <c r="M50" s="265" t="s">
        <v>1776</v>
      </c>
      <c r="N50" s="265">
        <v>1</v>
      </c>
    </row>
    <row r="51" spans="1:14" x14ac:dyDescent="0.25">
      <c r="A51" s="266" t="s">
        <v>1777</v>
      </c>
      <c r="B51" s="267" t="s">
        <v>1387</v>
      </c>
      <c r="C51" s="268">
        <v>5</v>
      </c>
      <c r="D51" s="267" t="s">
        <v>1778</v>
      </c>
      <c r="E51" s="268">
        <v>21</v>
      </c>
      <c r="F51" s="268"/>
      <c r="G51" s="267" t="s">
        <v>1779</v>
      </c>
      <c r="H51" s="268" t="s">
        <v>1565</v>
      </c>
      <c r="I51" s="268" t="s">
        <v>1566</v>
      </c>
      <c r="J51" s="268" t="s">
        <v>1551</v>
      </c>
      <c r="K51" s="268"/>
      <c r="L51" s="268"/>
      <c r="M51" s="268" t="s">
        <v>1780</v>
      </c>
      <c r="N51" s="268">
        <v>1</v>
      </c>
    </row>
    <row r="52" spans="1:14" x14ac:dyDescent="0.25">
      <c r="A52" s="269" t="s">
        <v>1781</v>
      </c>
      <c r="B52" s="264" t="s">
        <v>1782</v>
      </c>
      <c r="C52" s="265">
        <v>5</v>
      </c>
      <c r="D52" s="264" t="s">
        <v>1783</v>
      </c>
      <c r="E52" s="265"/>
      <c r="F52" s="265"/>
      <c r="G52" s="264" t="s">
        <v>1784</v>
      </c>
      <c r="H52" s="265"/>
      <c r="I52" s="265"/>
      <c r="J52" s="265"/>
      <c r="K52" s="265"/>
      <c r="L52" s="265"/>
      <c r="M52" s="265" t="s">
        <v>1785</v>
      </c>
      <c r="N52" s="265"/>
    </row>
    <row r="53" spans="1:14" x14ac:dyDescent="0.25">
      <c r="A53" s="266" t="s">
        <v>1786</v>
      </c>
      <c r="B53" s="267" t="s">
        <v>1787</v>
      </c>
      <c r="C53" s="268">
        <v>5</v>
      </c>
      <c r="D53" s="267" t="s">
        <v>1788</v>
      </c>
      <c r="E53" s="268"/>
      <c r="F53" s="268"/>
      <c r="G53" s="267">
        <v>1158054560</v>
      </c>
      <c r="H53" s="268"/>
      <c r="I53" s="268"/>
      <c r="J53" s="268"/>
      <c r="K53" s="268"/>
      <c r="L53" s="268"/>
      <c r="M53" s="268"/>
      <c r="N53" s="268"/>
    </row>
    <row r="54" spans="1:14" x14ac:dyDescent="0.25">
      <c r="A54" s="269" t="s">
        <v>1789</v>
      </c>
      <c r="B54" s="264" t="s">
        <v>1790</v>
      </c>
      <c r="C54" s="265">
        <v>5</v>
      </c>
      <c r="D54" s="264"/>
      <c r="E54" s="265"/>
      <c r="F54" s="265"/>
      <c r="G54" s="264"/>
      <c r="H54" s="265"/>
      <c r="I54" s="265"/>
      <c r="J54" s="265"/>
      <c r="K54" s="265"/>
      <c r="L54" s="265"/>
      <c r="M54" s="265"/>
      <c r="N54" s="265"/>
    </row>
    <row r="55" spans="1:14" x14ac:dyDescent="0.25">
      <c r="A55" s="266" t="s">
        <v>1791</v>
      </c>
      <c r="B55" s="267"/>
      <c r="C55" s="268"/>
      <c r="D55" s="267"/>
      <c r="E55" s="268"/>
      <c r="F55" s="268"/>
      <c r="G55" s="267"/>
      <c r="H55" s="268"/>
      <c r="I55" s="268"/>
      <c r="J55" s="268"/>
      <c r="K55" s="268"/>
      <c r="L55" s="268"/>
      <c r="M55" s="268"/>
      <c r="N55" s="268"/>
    </row>
    <row r="56" spans="1:14" x14ac:dyDescent="0.25">
      <c r="A56" s="269" t="s">
        <v>1792</v>
      </c>
      <c r="B56" s="264"/>
      <c r="C56" s="265"/>
      <c r="D56" s="264"/>
      <c r="E56" s="265"/>
      <c r="F56" s="265"/>
      <c r="G56" s="264"/>
      <c r="H56" s="265"/>
      <c r="I56" s="265"/>
      <c r="J56" s="265"/>
      <c r="K56" s="265"/>
      <c r="L56" s="265"/>
      <c r="M56" s="265"/>
      <c r="N56" s="265"/>
    </row>
    <row r="57" spans="1:14" x14ac:dyDescent="0.25">
      <c r="A57" s="266" t="s">
        <v>1793</v>
      </c>
      <c r="B57" s="267"/>
      <c r="C57" s="268"/>
      <c r="D57" s="267"/>
      <c r="E57" s="268"/>
      <c r="F57" s="268"/>
      <c r="G57" s="267"/>
      <c r="H57" s="268"/>
      <c r="I57" s="268"/>
      <c r="J57" s="268"/>
      <c r="K57" s="268"/>
      <c r="L57" s="268"/>
      <c r="M57" s="268"/>
      <c r="N57" s="268"/>
    </row>
    <row r="58" spans="1:14" x14ac:dyDescent="0.25">
      <c r="A58" s="269" t="s">
        <v>1794</v>
      </c>
      <c r="B58" s="264"/>
      <c r="C58" s="265"/>
      <c r="D58" s="264"/>
      <c r="E58" s="265"/>
      <c r="F58" s="265"/>
      <c r="G58" s="264"/>
      <c r="H58" s="265"/>
      <c r="I58" s="265"/>
      <c r="J58" s="265"/>
      <c r="K58" s="265"/>
      <c r="L58" s="265"/>
      <c r="M58" s="265"/>
      <c r="N58" s="265"/>
    </row>
    <row r="59" spans="1:14" x14ac:dyDescent="0.25">
      <c r="A59" s="266" t="s">
        <v>1795</v>
      </c>
      <c r="B59" s="267" t="s">
        <v>1796</v>
      </c>
      <c r="C59" s="268">
        <v>5</v>
      </c>
      <c r="D59" s="267" t="s">
        <v>1797</v>
      </c>
      <c r="E59" s="268">
        <v>1</v>
      </c>
      <c r="F59" s="268"/>
      <c r="G59" s="267" t="s">
        <v>1798</v>
      </c>
      <c r="H59" s="268" t="s">
        <v>1565</v>
      </c>
      <c r="I59" s="268" t="s">
        <v>1566</v>
      </c>
      <c r="J59" s="268" t="s">
        <v>1551</v>
      </c>
      <c r="K59" s="268"/>
      <c r="L59" s="268"/>
      <c r="M59" s="268" t="s">
        <v>50</v>
      </c>
      <c r="N59" s="268">
        <v>2</v>
      </c>
    </row>
    <row r="60" spans="1:14" x14ac:dyDescent="0.25">
      <c r="A60" s="269" t="s">
        <v>1799</v>
      </c>
      <c r="B60" s="264"/>
      <c r="C60" s="265"/>
      <c r="D60" s="264"/>
      <c r="E60" s="265"/>
      <c r="F60" s="265"/>
      <c r="G60" s="264"/>
      <c r="H60" s="265"/>
      <c r="I60" s="265"/>
      <c r="J60" s="265"/>
      <c r="K60" s="265"/>
      <c r="L60" s="265"/>
      <c r="M60" s="265"/>
      <c r="N60" s="265"/>
    </row>
    <row r="61" spans="1:14" x14ac:dyDescent="0.25">
      <c r="A61" s="266" t="s">
        <v>1800</v>
      </c>
      <c r="B61" s="267"/>
      <c r="C61" s="268"/>
      <c r="D61" s="267"/>
      <c r="E61" s="268"/>
      <c r="F61" s="268"/>
      <c r="G61" s="267"/>
      <c r="H61" s="268"/>
      <c r="I61" s="268"/>
      <c r="J61" s="268"/>
      <c r="K61" s="268"/>
      <c r="L61" s="268"/>
      <c r="M61" s="268"/>
      <c r="N61" s="268"/>
    </row>
    <row r="62" spans="1:14" x14ac:dyDescent="0.25">
      <c r="A62" s="269" t="s">
        <v>1801</v>
      </c>
      <c r="B62" s="264" t="s">
        <v>1802</v>
      </c>
      <c r="C62" s="265">
        <v>5</v>
      </c>
      <c r="D62" s="264" t="s">
        <v>1803</v>
      </c>
      <c r="E62" s="265">
        <v>1</v>
      </c>
      <c r="F62" s="265"/>
      <c r="G62" s="264" t="s">
        <v>1804</v>
      </c>
      <c r="H62" s="265" t="s">
        <v>1549</v>
      </c>
      <c r="I62" s="265" t="s">
        <v>1558</v>
      </c>
      <c r="J62" s="265" t="s">
        <v>1604</v>
      </c>
      <c r="K62" s="265" t="s">
        <v>1722</v>
      </c>
      <c r="L62" s="265" t="s">
        <v>1656</v>
      </c>
      <c r="M62" s="265"/>
      <c r="N62" s="265"/>
    </row>
    <row r="63" spans="1:14" x14ac:dyDescent="0.25">
      <c r="A63" s="266" t="s">
        <v>1805</v>
      </c>
      <c r="B63" s="267"/>
      <c r="C63" s="268"/>
      <c r="D63" s="267"/>
      <c r="E63" s="268"/>
      <c r="F63" s="268"/>
      <c r="G63" s="267"/>
      <c r="H63" s="268"/>
      <c r="I63" s="268"/>
      <c r="J63" s="268"/>
      <c r="K63" s="268"/>
      <c r="L63" s="268"/>
      <c r="M63" s="268"/>
      <c r="N63" s="268"/>
    </row>
    <row r="64" spans="1:14" x14ac:dyDescent="0.25">
      <c r="A64" s="269" t="s">
        <v>1806</v>
      </c>
      <c r="B64" s="264"/>
      <c r="C64" s="265"/>
      <c r="D64" s="264"/>
      <c r="E64" s="265"/>
      <c r="F64" s="265"/>
      <c r="G64" s="264"/>
      <c r="H64" s="265"/>
      <c r="I64" s="265"/>
      <c r="J64" s="265"/>
      <c r="K64" s="265"/>
      <c r="L64" s="265"/>
      <c r="M64" s="265"/>
      <c r="N64" s="265"/>
    </row>
    <row r="65" spans="1:14" x14ac:dyDescent="0.25">
      <c r="A65" s="266" t="s">
        <v>1807</v>
      </c>
      <c r="B65" s="267"/>
      <c r="C65" s="268"/>
      <c r="D65" s="267"/>
      <c r="E65" s="268"/>
      <c r="F65" s="268"/>
      <c r="G65" s="267"/>
      <c r="H65" s="268"/>
      <c r="I65" s="268"/>
      <c r="J65" s="268"/>
      <c r="K65" s="268"/>
      <c r="L65" s="268"/>
      <c r="M65" s="268"/>
      <c r="N65" s="268"/>
    </row>
    <row r="66" spans="1:14" x14ac:dyDescent="0.25">
      <c r="A66" s="269" t="s">
        <v>1808</v>
      </c>
      <c r="B66" s="264"/>
      <c r="C66" s="265"/>
      <c r="D66" s="264"/>
      <c r="E66" s="265"/>
      <c r="F66" s="265"/>
      <c r="G66" s="264"/>
      <c r="H66" s="265"/>
      <c r="I66" s="265"/>
      <c r="J66" s="265"/>
      <c r="K66" s="265"/>
      <c r="L66" s="265"/>
      <c r="M66" s="265"/>
      <c r="N66" s="265"/>
    </row>
    <row r="67" spans="1:14" x14ac:dyDescent="0.25">
      <c r="A67" s="266" t="s">
        <v>1809</v>
      </c>
      <c r="B67" s="267"/>
      <c r="C67" s="268"/>
      <c r="D67" s="267"/>
      <c r="E67" s="268"/>
      <c r="F67" s="268"/>
      <c r="G67" s="267"/>
      <c r="H67" s="268"/>
      <c r="I67" s="268"/>
      <c r="J67" s="268"/>
      <c r="K67" s="268"/>
      <c r="L67" s="268"/>
      <c r="M67" s="268"/>
      <c r="N67" s="268"/>
    </row>
    <row r="68" spans="1:14" x14ac:dyDescent="0.25">
      <c r="A68" s="269" t="s">
        <v>1810</v>
      </c>
      <c r="B68" s="264"/>
      <c r="C68" s="265"/>
      <c r="D68" s="264"/>
      <c r="E68" s="265"/>
      <c r="F68" s="265"/>
      <c r="G68" s="264"/>
      <c r="H68" s="265"/>
      <c r="I68" s="265"/>
      <c r="J68" s="265"/>
      <c r="K68" s="265"/>
      <c r="L68" s="265"/>
      <c r="M68" s="265"/>
      <c r="N68" s="265"/>
    </row>
    <row r="69" spans="1:14" x14ac:dyDescent="0.25">
      <c r="A69" s="266" t="s">
        <v>1811</v>
      </c>
      <c r="B69" s="267"/>
      <c r="C69" s="268"/>
      <c r="D69" s="267"/>
      <c r="E69" s="268"/>
      <c r="F69" s="268"/>
      <c r="G69" s="267"/>
      <c r="H69" s="268"/>
      <c r="I69" s="268"/>
      <c r="J69" s="268"/>
      <c r="K69" s="268"/>
      <c r="L69" s="268"/>
      <c r="M69" s="268"/>
      <c r="N69" s="268"/>
    </row>
    <row r="70" spans="1:14" x14ac:dyDescent="0.25">
      <c r="A70" s="269" t="s">
        <v>1812</v>
      </c>
      <c r="B70" s="264" t="s">
        <v>1813</v>
      </c>
      <c r="C70" s="265">
        <v>5</v>
      </c>
      <c r="D70" s="264" t="s">
        <v>1714</v>
      </c>
      <c r="E70" s="265">
        <v>9</v>
      </c>
      <c r="F70" s="265"/>
      <c r="G70" s="264" t="s">
        <v>1814</v>
      </c>
      <c r="H70" s="265" t="s">
        <v>1726</v>
      </c>
      <c r="I70" s="265" t="s">
        <v>1648</v>
      </c>
      <c r="J70" s="265" t="s">
        <v>1815</v>
      </c>
      <c r="K70" s="265"/>
      <c r="L70" s="265"/>
      <c r="M70" s="265"/>
      <c r="N70" s="265"/>
    </row>
    <row r="71" spans="1:14" x14ac:dyDescent="0.25">
      <c r="A71" s="266" t="s">
        <v>1816</v>
      </c>
      <c r="B71" s="267"/>
      <c r="C71" s="268"/>
      <c r="D71" s="267"/>
      <c r="E71" s="268"/>
      <c r="F71" s="268"/>
      <c r="G71" s="267"/>
      <c r="H71" s="268"/>
      <c r="I71" s="268"/>
      <c r="J71" s="268"/>
      <c r="K71" s="268"/>
      <c r="L71" s="268"/>
      <c r="M71" s="268"/>
      <c r="N71" s="268"/>
    </row>
    <row r="72" spans="1:14" x14ac:dyDescent="0.25">
      <c r="A72" s="269" t="s">
        <v>1817</v>
      </c>
      <c r="B72" s="264"/>
      <c r="C72" s="265"/>
      <c r="D72" s="264"/>
      <c r="E72" s="265"/>
      <c r="F72" s="265"/>
      <c r="G72" s="264"/>
      <c r="H72" s="265"/>
      <c r="I72" s="265"/>
      <c r="J72" s="265"/>
      <c r="K72" s="265"/>
      <c r="L72" s="265"/>
      <c r="M72" s="265"/>
      <c r="N72" s="265"/>
    </row>
    <row r="73" spans="1:14" x14ac:dyDescent="0.25">
      <c r="A73" s="266" t="s">
        <v>1818</v>
      </c>
      <c r="B73" s="267"/>
      <c r="C73" s="268"/>
      <c r="D73" s="267"/>
      <c r="E73" s="268"/>
      <c r="F73" s="268"/>
      <c r="G73" s="267"/>
      <c r="H73" s="268"/>
      <c r="I73" s="268"/>
      <c r="J73" s="268"/>
      <c r="K73" s="268"/>
      <c r="L73" s="268"/>
      <c r="M73" s="268"/>
      <c r="N73" s="268"/>
    </row>
    <row r="74" spans="1:14" x14ac:dyDescent="0.25">
      <c r="A74" s="269" t="s">
        <v>1819</v>
      </c>
      <c r="B74" s="264" t="s">
        <v>1820</v>
      </c>
      <c r="C74" s="265">
        <v>5</v>
      </c>
      <c r="D74" s="264" t="s">
        <v>1714</v>
      </c>
      <c r="E74" s="265">
        <v>1</v>
      </c>
      <c r="F74" s="265"/>
      <c r="G74" s="264">
        <v>1123867439</v>
      </c>
      <c r="H74" s="265" t="s">
        <v>1726</v>
      </c>
      <c r="I74" s="265" t="s">
        <v>1648</v>
      </c>
      <c r="J74" s="265" t="s">
        <v>1727</v>
      </c>
      <c r="K74" s="265"/>
      <c r="L74" s="265"/>
      <c r="M74" s="265" t="s">
        <v>1703</v>
      </c>
      <c r="N74" s="265"/>
    </row>
    <row r="75" spans="1:14" x14ac:dyDescent="0.25">
      <c r="A75" s="266" t="s">
        <v>1821</v>
      </c>
      <c r="B75" s="267"/>
      <c r="C75" s="268"/>
      <c r="D75" s="267"/>
      <c r="E75" s="268"/>
      <c r="F75" s="268"/>
      <c r="G75" s="267"/>
      <c r="H75" s="268"/>
      <c r="I75" s="268"/>
      <c r="J75" s="268"/>
      <c r="K75" s="268"/>
      <c r="L75" s="268"/>
      <c r="M75" s="268"/>
      <c r="N75" s="268"/>
    </row>
    <row r="76" spans="1:14" x14ac:dyDescent="0.25">
      <c r="A76" s="269" t="s">
        <v>48</v>
      </c>
      <c r="B76" s="264" t="s">
        <v>49</v>
      </c>
      <c r="C76" s="265">
        <v>6</v>
      </c>
      <c r="D76" s="264" t="s">
        <v>51</v>
      </c>
      <c r="E76" s="265"/>
      <c r="F76" s="265"/>
      <c r="G76" s="264"/>
      <c r="H76" s="265"/>
      <c r="I76" s="265"/>
      <c r="J76" s="265"/>
      <c r="K76" s="265"/>
      <c r="L76" s="265"/>
      <c r="M76" s="265" t="s">
        <v>50</v>
      </c>
      <c r="N76" s="265">
        <v>1</v>
      </c>
    </row>
    <row r="77" spans="1:14" x14ac:dyDescent="0.25">
      <c r="A77" s="266" t="s">
        <v>1822</v>
      </c>
      <c r="B77" s="267"/>
      <c r="C77" s="268"/>
      <c r="D77" s="267"/>
      <c r="E77" s="268"/>
      <c r="F77" s="268"/>
      <c r="G77" s="267"/>
      <c r="H77" s="268"/>
      <c r="I77" s="268"/>
      <c r="J77" s="268"/>
      <c r="K77" s="268"/>
      <c r="L77" s="268"/>
      <c r="M77" s="268"/>
      <c r="N77" s="268"/>
    </row>
    <row r="78" spans="1:14" x14ac:dyDescent="0.25">
      <c r="A78" s="266" t="s">
        <v>1823</v>
      </c>
      <c r="B78" s="267"/>
      <c r="C78" s="268"/>
      <c r="D78" s="267"/>
      <c r="E78" s="268"/>
      <c r="F78" s="268"/>
      <c r="G78" s="267"/>
      <c r="H78" s="268"/>
      <c r="I78" s="268"/>
      <c r="J78" s="268"/>
      <c r="K78" s="268"/>
      <c r="L78" s="268"/>
      <c r="M78" s="268"/>
      <c r="N78" s="268"/>
    </row>
    <row r="79" spans="1:14" x14ac:dyDescent="0.25">
      <c r="A79" s="269" t="s">
        <v>1824</v>
      </c>
      <c r="B79" s="264"/>
      <c r="C79" s="265"/>
      <c r="D79" s="264"/>
      <c r="E79" s="265"/>
      <c r="F79" s="265"/>
      <c r="G79" s="264"/>
      <c r="H79" s="265"/>
      <c r="I79" s="265"/>
      <c r="J79" s="265"/>
      <c r="K79" s="265"/>
      <c r="L79" s="265"/>
      <c r="M79" s="265"/>
      <c r="N79" s="265"/>
    </row>
    <row r="80" spans="1:14" x14ac:dyDescent="0.25">
      <c r="A80" s="269" t="s">
        <v>1825</v>
      </c>
      <c r="B80" s="264"/>
      <c r="C80" s="265"/>
      <c r="D80" s="264"/>
      <c r="E80" s="265"/>
      <c r="F80" s="265"/>
      <c r="G80" s="264"/>
      <c r="H80" s="265"/>
      <c r="I80" s="265"/>
      <c r="J80" s="265"/>
      <c r="K80" s="265"/>
      <c r="L80" s="265"/>
      <c r="M80" s="265"/>
      <c r="N80" s="265"/>
    </row>
    <row r="81" spans="1:14" x14ac:dyDescent="0.25">
      <c r="A81" s="266" t="s">
        <v>1826</v>
      </c>
      <c r="B81" s="267"/>
      <c r="C81" s="268"/>
      <c r="D81" s="267"/>
      <c r="E81" s="268"/>
      <c r="F81" s="268"/>
      <c r="G81" s="267"/>
      <c r="H81" s="268"/>
      <c r="I81" s="268"/>
      <c r="J81" s="268"/>
      <c r="K81" s="268"/>
      <c r="L81" s="268"/>
      <c r="M81" s="268"/>
      <c r="N81" s="268"/>
    </row>
    <row r="82" spans="1:14" x14ac:dyDescent="0.25">
      <c r="A82" s="266" t="s">
        <v>1827</v>
      </c>
      <c r="B82" s="267" t="s">
        <v>1828</v>
      </c>
      <c r="C82" s="268">
        <v>5</v>
      </c>
      <c r="D82" s="267" t="s">
        <v>1829</v>
      </c>
      <c r="E82" s="268"/>
      <c r="F82" s="268"/>
      <c r="G82" s="267"/>
      <c r="H82" s="268"/>
      <c r="I82" s="268"/>
      <c r="J82" s="268"/>
      <c r="K82" s="268"/>
      <c r="L82" s="268"/>
      <c r="M82" s="268"/>
      <c r="N82" s="268"/>
    </row>
    <row r="83" spans="1:14" ht="16.5" customHeight="1" x14ac:dyDescent="0.25">
      <c r="A83" s="269" t="s">
        <v>1830</v>
      </c>
      <c r="B83" s="264" t="s">
        <v>1831</v>
      </c>
      <c r="C83" s="265">
        <v>5</v>
      </c>
      <c r="D83" s="264" t="s">
        <v>1832</v>
      </c>
      <c r="E83" s="265"/>
      <c r="F83" s="265"/>
      <c r="G83" s="264">
        <v>1123685958</v>
      </c>
      <c r="H83" s="265" t="s">
        <v>1726</v>
      </c>
      <c r="I83" s="265" t="s">
        <v>1648</v>
      </c>
      <c r="J83" s="265" t="s">
        <v>1649</v>
      </c>
      <c r="K83" s="265"/>
      <c r="L83" s="265"/>
      <c r="M83" s="265" t="s">
        <v>1833</v>
      </c>
      <c r="N83" s="265">
        <v>2</v>
      </c>
    </row>
    <row r="84" spans="1:14" x14ac:dyDescent="0.25">
      <c r="A84" s="266" t="s">
        <v>1834</v>
      </c>
      <c r="B84" s="267"/>
      <c r="C84" s="268"/>
      <c r="D84" s="267"/>
      <c r="E84" s="268"/>
      <c r="F84" s="268"/>
      <c r="G84" s="267"/>
      <c r="H84" s="268"/>
      <c r="I84" s="268"/>
      <c r="J84" s="268"/>
      <c r="K84" s="268"/>
      <c r="L84" s="268"/>
      <c r="M84" s="268"/>
      <c r="N84" s="268"/>
    </row>
    <row r="85" spans="1:14" x14ac:dyDescent="0.25">
      <c r="A85" s="266" t="s">
        <v>1835</v>
      </c>
      <c r="B85" s="267"/>
      <c r="C85" s="268"/>
      <c r="D85" s="267"/>
      <c r="E85" s="268"/>
      <c r="F85" s="268"/>
      <c r="G85" s="267"/>
      <c r="H85" s="268"/>
      <c r="I85" s="268"/>
      <c r="J85" s="268"/>
      <c r="K85" s="268"/>
      <c r="L85" s="268"/>
      <c r="M85" s="268"/>
      <c r="N85" s="268"/>
    </row>
    <row r="86" spans="1:14" x14ac:dyDescent="0.25">
      <c r="A86" s="269" t="s">
        <v>1836</v>
      </c>
      <c r="B86" s="264"/>
      <c r="C86" s="265"/>
      <c r="D86" s="264"/>
      <c r="E86" s="265"/>
      <c r="F86" s="265"/>
      <c r="G86" s="264"/>
      <c r="H86" s="265"/>
      <c r="I86" s="265"/>
      <c r="J86" s="265"/>
      <c r="K86" s="265"/>
      <c r="L86" s="265"/>
      <c r="M86" s="265"/>
      <c r="N86" s="265"/>
    </row>
    <row r="87" spans="1:14" x14ac:dyDescent="0.25">
      <c r="A87" s="269" t="s">
        <v>1837</v>
      </c>
      <c r="B87" s="264"/>
      <c r="C87" s="265"/>
      <c r="D87" s="264"/>
      <c r="E87" s="265"/>
      <c r="F87" s="265"/>
      <c r="G87" s="264"/>
      <c r="H87" s="265"/>
      <c r="I87" s="265"/>
      <c r="J87" s="265"/>
      <c r="K87" s="265"/>
      <c r="L87" s="265"/>
      <c r="M87" s="265"/>
      <c r="N87" s="265"/>
    </row>
    <row r="88" spans="1:14" ht="7.5" customHeight="1" x14ac:dyDescent="0.25">
      <c r="A88" s="266" t="s">
        <v>1838</v>
      </c>
      <c r="B88" s="267"/>
      <c r="C88" s="268"/>
      <c r="D88" s="267"/>
      <c r="E88" s="268"/>
      <c r="F88" s="268"/>
      <c r="G88" s="267"/>
      <c r="H88" s="268"/>
      <c r="I88" s="268"/>
      <c r="J88" s="268"/>
      <c r="K88" s="268"/>
      <c r="L88" s="268"/>
      <c r="M88" s="268"/>
      <c r="N88" s="268"/>
    </row>
    <row r="89" spans="1:14" x14ac:dyDescent="0.25">
      <c r="A89" s="269" t="s">
        <v>1839</v>
      </c>
      <c r="B89" s="264" t="s">
        <v>1840</v>
      </c>
      <c r="C89" s="265">
        <v>5</v>
      </c>
      <c r="D89" s="264" t="s">
        <v>1841</v>
      </c>
      <c r="E89" s="265"/>
      <c r="F89" s="265"/>
      <c r="G89" s="264">
        <v>1140316780</v>
      </c>
      <c r="H89" s="265" t="s">
        <v>1726</v>
      </c>
      <c r="I89" s="265" t="s">
        <v>1648</v>
      </c>
      <c r="J89" s="265" t="s">
        <v>1649</v>
      </c>
      <c r="K89" s="265"/>
      <c r="L89" s="265"/>
      <c r="M89" s="265" t="s">
        <v>1691</v>
      </c>
      <c r="N89" s="265">
        <v>3</v>
      </c>
    </row>
    <row r="90" spans="1:14" x14ac:dyDescent="0.25">
      <c r="A90" s="266" t="s">
        <v>1842</v>
      </c>
      <c r="B90" s="267"/>
      <c r="C90" s="268"/>
      <c r="D90" s="267"/>
      <c r="E90" s="268"/>
      <c r="F90" s="268"/>
      <c r="G90" s="267"/>
      <c r="H90" s="268"/>
      <c r="I90" s="268"/>
      <c r="J90" s="268"/>
      <c r="K90" s="268"/>
      <c r="L90" s="268"/>
      <c r="M90" s="268"/>
      <c r="N90" s="268"/>
    </row>
    <row r="91" spans="1:14" x14ac:dyDescent="0.25">
      <c r="A91" s="269" t="s">
        <v>1843</v>
      </c>
      <c r="B91" s="264"/>
      <c r="C91" s="265"/>
      <c r="D91" s="264"/>
      <c r="E91" s="265"/>
      <c r="F91" s="265"/>
      <c r="G91" s="264"/>
      <c r="H91" s="265"/>
      <c r="I91" s="265"/>
      <c r="J91" s="265"/>
      <c r="K91" s="265"/>
      <c r="L91" s="265"/>
      <c r="M91" s="265"/>
      <c r="N91" s="265"/>
    </row>
    <row r="92" spans="1:14" x14ac:dyDescent="0.25">
      <c r="A92" s="266" t="s">
        <v>1844</v>
      </c>
      <c r="B92" s="267"/>
      <c r="C92" s="268"/>
      <c r="D92" s="267"/>
      <c r="E92" s="268"/>
      <c r="F92" s="268"/>
      <c r="G92" s="267"/>
      <c r="H92" s="268"/>
      <c r="I92" s="268"/>
      <c r="J92" s="268"/>
      <c r="K92" s="268"/>
      <c r="L92" s="268"/>
      <c r="M92" s="268"/>
      <c r="N92" s="268"/>
    </row>
    <row r="93" spans="1:14" x14ac:dyDescent="0.25">
      <c r="A93" s="269" t="s">
        <v>1845</v>
      </c>
      <c r="B93" s="264"/>
      <c r="C93" s="265"/>
      <c r="D93" s="264"/>
      <c r="E93" s="265"/>
      <c r="F93" s="265"/>
      <c r="G93" s="264"/>
      <c r="H93" s="265"/>
      <c r="I93" s="265"/>
      <c r="J93" s="265"/>
      <c r="K93" s="265"/>
      <c r="L93" s="265"/>
      <c r="M93" s="265"/>
      <c r="N93" s="265"/>
    </row>
    <row r="94" spans="1:14" x14ac:dyDescent="0.25">
      <c r="A94" s="266" t="s">
        <v>1846</v>
      </c>
      <c r="B94" s="267" t="s">
        <v>1847</v>
      </c>
      <c r="C94" s="268">
        <v>5</v>
      </c>
      <c r="D94" s="267" t="s">
        <v>1714</v>
      </c>
      <c r="E94" s="268"/>
      <c r="F94" s="268"/>
      <c r="G94" s="267" t="s">
        <v>1848</v>
      </c>
      <c r="H94" s="268"/>
      <c r="I94" s="268"/>
      <c r="J94" s="268"/>
      <c r="K94" s="268"/>
      <c r="L94" s="268"/>
      <c r="M94" s="268"/>
      <c r="N94" s="268"/>
    </row>
    <row r="95" spans="1:14" x14ac:dyDescent="0.25">
      <c r="A95" s="269" t="s">
        <v>1849</v>
      </c>
      <c r="B95" s="264"/>
      <c r="C95" s="265"/>
      <c r="D95" s="264"/>
      <c r="E95" s="265"/>
      <c r="F95" s="265"/>
      <c r="G95" s="264"/>
      <c r="H95" s="265"/>
      <c r="I95" s="265"/>
      <c r="J95" s="265"/>
      <c r="K95" s="265"/>
      <c r="L95" s="265"/>
      <c r="M95" s="265"/>
      <c r="N95" s="265"/>
    </row>
    <row r="96" spans="1:14" x14ac:dyDescent="0.25">
      <c r="A96" s="266" t="s">
        <v>1850</v>
      </c>
      <c r="B96" s="267"/>
      <c r="C96" s="268"/>
      <c r="D96" s="267"/>
      <c r="E96" s="268"/>
      <c r="F96" s="268"/>
      <c r="G96" s="267"/>
      <c r="H96" s="268"/>
      <c r="I96" s="268"/>
      <c r="J96" s="268"/>
      <c r="K96" s="268"/>
      <c r="L96" s="268"/>
      <c r="M96" s="268"/>
      <c r="N96" s="268"/>
    </row>
    <row r="97" spans="1:14" x14ac:dyDescent="0.25">
      <c r="A97" s="269" t="s">
        <v>1851</v>
      </c>
      <c r="B97" s="264"/>
      <c r="C97" s="265"/>
      <c r="D97" s="267"/>
      <c r="E97" s="265"/>
      <c r="F97" s="265"/>
      <c r="G97" s="264"/>
      <c r="H97" s="265"/>
      <c r="I97" s="265"/>
      <c r="J97" s="265"/>
      <c r="K97" s="265"/>
      <c r="L97" s="265"/>
      <c r="M97" s="265"/>
      <c r="N97" s="265"/>
    </row>
    <row r="98" spans="1:14" x14ac:dyDescent="0.25">
      <c r="A98" s="266" t="s">
        <v>1852</v>
      </c>
      <c r="B98" s="267"/>
      <c r="C98" s="268"/>
      <c r="D98" s="267"/>
      <c r="E98" s="268"/>
      <c r="F98" s="268"/>
      <c r="G98" s="267"/>
      <c r="H98" s="268"/>
      <c r="I98" s="268"/>
      <c r="J98" s="268"/>
      <c r="K98" s="268"/>
      <c r="L98" s="268"/>
      <c r="M98" s="268"/>
      <c r="N98" s="268"/>
    </row>
    <row r="99" spans="1:14" x14ac:dyDescent="0.25">
      <c r="A99" s="269" t="s">
        <v>1853</v>
      </c>
      <c r="B99" s="264"/>
      <c r="C99" s="265"/>
      <c r="D99" s="264"/>
      <c r="E99" s="265"/>
      <c r="F99" s="265"/>
      <c r="G99" s="264"/>
      <c r="H99" s="265"/>
      <c r="I99" s="265"/>
      <c r="J99" s="265"/>
      <c r="K99" s="265"/>
      <c r="L99" s="265"/>
      <c r="M99" s="265"/>
      <c r="N99" s="265"/>
    </row>
    <row r="100" spans="1:14" x14ac:dyDescent="0.25">
      <c r="A100" s="266" t="s">
        <v>1854</v>
      </c>
      <c r="B100" s="267"/>
      <c r="C100" s="268"/>
      <c r="D100" s="267"/>
      <c r="E100" s="268"/>
      <c r="F100" s="268"/>
      <c r="G100" s="267"/>
      <c r="H100" s="268"/>
      <c r="I100" s="268"/>
      <c r="J100" s="268"/>
      <c r="K100" s="268"/>
      <c r="L100" s="268"/>
      <c r="M100" s="268"/>
      <c r="N100" s="268"/>
    </row>
    <row r="101" spans="1:14" x14ac:dyDescent="0.25">
      <c r="A101" s="269" t="s">
        <v>1855</v>
      </c>
      <c r="B101" s="264" t="s">
        <v>1856</v>
      </c>
      <c r="C101" s="265">
        <v>5</v>
      </c>
      <c r="D101" s="264" t="s">
        <v>1703</v>
      </c>
      <c r="E101" s="265"/>
      <c r="F101" s="265"/>
      <c r="G101" s="264" t="s">
        <v>1857</v>
      </c>
      <c r="H101" s="265"/>
      <c r="I101" s="265" t="s">
        <v>1648</v>
      </c>
      <c r="J101" s="265"/>
      <c r="K101" s="265"/>
      <c r="L101" s="265"/>
      <c r="M101" s="265"/>
      <c r="N101" s="265"/>
    </row>
    <row r="102" spans="1:14" x14ac:dyDescent="0.25">
      <c r="A102" s="266" t="s">
        <v>1858</v>
      </c>
      <c r="B102" s="267"/>
      <c r="C102" s="268"/>
      <c r="D102" s="267"/>
      <c r="E102" s="268"/>
      <c r="F102" s="268"/>
      <c r="G102" s="267"/>
      <c r="H102" s="268"/>
      <c r="I102" s="268"/>
      <c r="J102" s="268"/>
      <c r="K102" s="268"/>
      <c r="L102" s="268"/>
      <c r="M102" s="268"/>
      <c r="N102" s="268"/>
    </row>
    <row r="103" spans="1:14" x14ac:dyDescent="0.25">
      <c r="A103" s="266" t="s">
        <v>1858</v>
      </c>
      <c r="B103" s="267"/>
      <c r="C103" s="268"/>
      <c r="D103" s="267"/>
      <c r="E103" s="268"/>
      <c r="F103" s="268"/>
      <c r="G103" s="267"/>
      <c r="H103" s="268"/>
      <c r="I103" s="268"/>
      <c r="J103" s="268"/>
      <c r="K103" s="268"/>
      <c r="L103" s="268"/>
      <c r="M103" s="268"/>
      <c r="N103" s="268"/>
    </row>
    <row r="104" spans="1:14" x14ac:dyDescent="0.25">
      <c r="A104" s="269" t="s">
        <v>1859</v>
      </c>
      <c r="B104" s="264"/>
      <c r="C104" s="265"/>
      <c r="D104" s="264"/>
      <c r="E104" s="265"/>
      <c r="F104" s="265"/>
      <c r="G104" s="264"/>
      <c r="H104" s="265"/>
      <c r="I104" s="265"/>
      <c r="J104" s="265"/>
      <c r="K104" s="265"/>
      <c r="L104" s="265"/>
      <c r="M104" s="265"/>
      <c r="N104" s="265"/>
    </row>
    <row r="105" spans="1:14" x14ac:dyDescent="0.25">
      <c r="A105" s="269" t="s">
        <v>1860</v>
      </c>
      <c r="B105" s="264" t="s">
        <v>1861</v>
      </c>
      <c r="C105" s="265">
        <v>5</v>
      </c>
      <c r="D105" s="264" t="s">
        <v>1862</v>
      </c>
      <c r="E105" s="265"/>
      <c r="F105" s="265"/>
      <c r="G105" s="264">
        <v>1122514865</v>
      </c>
      <c r="H105" s="265" t="s">
        <v>1726</v>
      </c>
      <c r="I105" s="265" t="s">
        <v>1648</v>
      </c>
      <c r="J105" s="265" t="s">
        <v>1727</v>
      </c>
      <c r="K105" s="265"/>
      <c r="L105" s="265"/>
      <c r="M105" s="265" t="s">
        <v>1863</v>
      </c>
      <c r="N105" s="265"/>
    </row>
    <row r="106" spans="1:14" x14ac:dyDescent="0.25">
      <c r="A106" s="266" t="s">
        <v>1864</v>
      </c>
      <c r="B106" s="267" t="s">
        <v>1865</v>
      </c>
      <c r="C106" s="268">
        <v>5</v>
      </c>
      <c r="D106" s="267" t="s">
        <v>1866</v>
      </c>
      <c r="E106" s="268"/>
      <c r="F106" s="268"/>
      <c r="G106" s="267">
        <v>1151617678</v>
      </c>
      <c r="H106" s="268"/>
      <c r="I106" s="268"/>
      <c r="J106" s="268"/>
      <c r="K106" s="268"/>
      <c r="L106" s="268"/>
      <c r="M106" s="268"/>
      <c r="N106" s="268"/>
    </row>
    <row r="107" spans="1:14" x14ac:dyDescent="0.25">
      <c r="A107" s="269" t="s">
        <v>1867</v>
      </c>
      <c r="B107" s="264" t="s">
        <v>1868</v>
      </c>
      <c r="C107" s="265">
        <v>5</v>
      </c>
      <c r="D107" s="264" t="s">
        <v>1869</v>
      </c>
      <c r="E107" s="265"/>
      <c r="F107" s="265"/>
      <c r="G107" s="264" t="s">
        <v>1870</v>
      </c>
      <c r="H107" s="265" t="s">
        <v>1726</v>
      </c>
      <c r="I107" s="265" t="s">
        <v>1648</v>
      </c>
      <c r="J107" s="265" t="s">
        <v>1649</v>
      </c>
      <c r="K107" s="265"/>
      <c r="L107" s="265"/>
      <c r="M107" s="265" t="s">
        <v>50</v>
      </c>
      <c r="N107" s="265">
        <v>3</v>
      </c>
    </row>
    <row r="108" spans="1:14" x14ac:dyDescent="0.25">
      <c r="A108" s="266" t="s">
        <v>1871</v>
      </c>
      <c r="B108" s="267"/>
      <c r="C108" s="268"/>
      <c r="D108" s="267"/>
      <c r="E108" s="268"/>
      <c r="F108" s="268"/>
      <c r="G108" s="267"/>
      <c r="H108" s="268"/>
      <c r="I108" s="268"/>
      <c r="J108" s="268"/>
      <c r="K108" s="268"/>
      <c r="L108" s="268"/>
      <c r="M108" s="268"/>
      <c r="N108" s="268"/>
    </row>
    <row r="109" spans="1:14" x14ac:dyDescent="0.25">
      <c r="A109" s="269" t="s">
        <v>1872</v>
      </c>
      <c r="B109" s="264"/>
      <c r="C109" s="265"/>
      <c r="D109" s="264"/>
      <c r="E109" s="265"/>
      <c r="F109" s="265"/>
      <c r="G109" s="264"/>
      <c r="H109" s="265"/>
      <c r="I109" s="265"/>
      <c r="J109" s="265"/>
      <c r="K109" s="265"/>
      <c r="L109" s="265"/>
      <c r="M109" s="265"/>
      <c r="N109" s="265"/>
    </row>
    <row r="110" spans="1:14" x14ac:dyDescent="0.25">
      <c r="A110" s="266" t="s">
        <v>1873</v>
      </c>
      <c r="B110" s="267"/>
      <c r="C110" s="268"/>
      <c r="D110" s="267"/>
      <c r="E110" s="268"/>
      <c r="F110" s="268"/>
      <c r="G110" s="267"/>
      <c r="H110" s="268"/>
      <c r="I110" s="268"/>
      <c r="J110" s="268"/>
      <c r="K110" s="268"/>
      <c r="L110" s="268"/>
      <c r="M110" s="268"/>
      <c r="N110" s="268"/>
    </row>
    <row r="111" spans="1:14" x14ac:dyDescent="0.25">
      <c r="A111" s="269" t="s">
        <v>1874</v>
      </c>
      <c r="B111" s="264" t="s">
        <v>1875</v>
      </c>
      <c r="C111" s="265">
        <v>5</v>
      </c>
      <c r="D111" s="264" t="s">
        <v>1876</v>
      </c>
      <c r="E111" s="265"/>
      <c r="F111" s="265"/>
      <c r="G111" s="264">
        <v>1162628432</v>
      </c>
      <c r="H111" s="265" t="s">
        <v>1877</v>
      </c>
      <c r="I111" s="265" t="s">
        <v>1878</v>
      </c>
      <c r="J111" s="265" t="s">
        <v>1649</v>
      </c>
      <c r="K111" s="265"/>
      <c r="L111" s="265"/>
      <c r="M111" s="265"/>
      <c r="N111" s="265"/>
    </row>
    <row r="112" spans="1:14" x14ac:dyDescent="0.25">
      <c r="A112" s="266" t="s">
        <v>1879</v>
      </c>
      <c r="B112" s="267" t="s">
        <v>1880</v>
      </c>
      <c r="C112" s="268">
        <v>5</v>
      </c>
      <c r="D112" s="267" t="s">
        <v>1881</v>
      </c>
      <c r="E112" s="268"/>
      <c r="F112" s="268"/>
      <c r="G112" s="267">
        <v>1125370918</v>
      </c>
      <c r="H112" s="268"/>
      <c r="I112" s="268" t="s">
        <v>1882</v>
      </c>
      <c r="J112" s="268"/>
      <c r="K112" s="268"/>
      <c r="L112" s="268"/>
      <c r="M112" s="268" t="s">
        <v>50</v>
      </c>
      <c r="N112" s="268">
        <v>3</v>
      </c>
    </row>
    <row r="113" spans="1:14" x14ac:dyDescent="0.25">
      <c r="A113" s="269" t="s">
        <v>1883</v>
      </c>
      <c r="B113" s="264" t="s">
        <v>1884</v>
      </c>
      <c r="C113" s="265">
        <v>5</v>
      </c>
      <c r="D113" s="264" t="s">
        <v>1885</v>
      </c>
      <c r="E113" s="265"/>
      <c r="F113" s="265"/>
      <c r="G113" s="264">
        <v>1154544151</v>
      </c>
      <c r="H113" s="265" t="s">
        <v>1877</v>
      </c>
      <c r="I113" s="265" t="s">
        <v>1878</v>
      </c>
      <c r="J113" s="265" t="s">
        <v>1886</v>
      </c>
      <c r="K113" s="265"/>
      <c r="L113" s="265"/>
      <c r="M113" s="265"/>
      <c r="N113" s="265"/>
    </row>
    <row r="114" spans="1:14" x14ac:dyDescent="0.25">
      <c r="A114" s="266" t="s">
        <v>1887</v>
      </c>
      <c r="B114" s="267" t="s">
        <v>1888</v>
      </c>
      <c r="C114" s="268">
        <v>5</v>
      </c>
      <c r="D114" s="267" t="s">
        <v>1714</v>
      </c>
      <c r="E114" s="268"/>
      <c r="F114" s="268"/>
      <c r="G114" s="267"/>
      <c r="H114" s="268"/>
      <c r="I114" s="268"/>
      <c r="J114" s="268"/>
      <c r="K114" s="268"/>
      <c r="L114" s="268"/>
      <c r="M114" s="268"/>
      <c r="N114" s="268"/>
    </row>
    <row r="115" spans="1:14" x14ac:dyDescent="0.25">
      <c r="A115" s="269" t="s">
        <v>1889</v>
      </c>
      <c r="B115" s="264"/>
      <c r="C115" s="265"/>
      <c r="D115" s="264"/>
      <c r="E115" s="265"/>
      <c r="F115" s="265"/>
      <c r="G115" s="264"/>
      <c r="H115" s="265"/>
      <c r="I115" s="265"/>
      <c r="J115" s="265"/>
      <c r="K115" s="265"/>
      <c r="L115" s="265"/>
      <c r="M115" s="265"/>
      <c r="N115" s="265"/>
    </row>
    <row r="116" spans="1:14" x14ac:dyDescent="0.25">
      <c r="A116" s="266" t="s">
        <v>1890</v>
      </c>
      <c r="B116" s="267"/>
      <c r="C116" s="268"/>
      <c r="D116" s="267"/>
      <c r="E116" s="268"/>
      <c r="F116" s="268"/>
      <c r="G116" s="267"/>
      <c r="H116" s="268"/>
      <c r="I116" s="268"/>
      <c r="J116" s="268"/>
      <c r="K116" s="268"/>
      <c r="L116" s="268"/>
      <c r="M116" s="268"/>
      <c r="N116" s="268"/>
    </row>
    <row r="117" spans="1:14" x14ac:dyDescent="0.25">
      <c r="A117" s="269" t="s">
        <v>1891</v>
      </c>
      <c r="B117" s="264" t="s">
        <v>1892</v>
      </c>
      <c r="C117" s="265">
        <v>5</v>
      </c>
      <c r="D117" s="264" t="s">
        <v>1893</v>
      </c>
      <c r="E117" s="265"/>
      <c r="F117" s="265"/>
      <c r="G117" s="264" t="s">
        <v>1870</v>
      </c>
      <c r="H117" s="265" t="s">
        <v>1726</v>
      </c>
      <c r="I117" s="265" t="s">
        <v>1648</v>
      </c>
      <c r="J117" s="265" t="s">
        <v>1649</v>
      </c>
      <c r="K117" s="265"/>
      <c r="L117" s="265"/>
      <c r="M117" s="265" t="s">
        <v>1691</v>
      </c>
      <c r="N117" s="265">
        <v>2</v>
      </c>
    </row>
    <row r="118" spans="1:14" x14ac:dyDescent="0.25">
      <c r="A118" s="266" t="s">
        <v>1894</v>
      </c>
      <c r="B118" s="267" t="s">
        <v>1895</v>
      </c>
      <c r="C118" s="268">
        <v>5</v>
      </c>
      <c r="D118" s="267"/>
      <c r="E118" s="268"/>
      <c r="F118" s="268"/>
      <c r="G118" s="267"/>
      <c r="H118" s="268"/>
      <c r="I118" s="268"/>
      <c r="J118" s="268"/>
      <c r="K118" s="268"/>
      <c r="L118" s="268"/>
      <c r="M118" s="268"/>
      <c r="N118" s="268"/>
    </row>
    <row r="119" spans="1:14" x14ac:dyDescent="0.25">
      <c r="A119" s="269" t="s">
        <v>1896</v>
      </c>
      <c r="B119" s="264" t="s">
        <v>1897</v>
      </c>
      <c r="C119" s="265">
        <v>5</v>
      </c>
      <c r="D119" s="264" t="s">
        <v>1898</v>
      </c>
      <c r="E119" s="265"/>
      <c r="F119" s="265"/>
      <c r="G119" s="264"/>
      <c r="H119" s="265"/>
      <c r="I119" s="265"/>
      <c r="J119" s="265"/>
      <c r="K119" s="265"/>
      <c r="L119" s="265"/>
      <c r="M119" s="265"/>
      <c r="N119" s="265"/>
    </row>
    <row r="120" spans="1:14" x14ac:dyDescent="0.25">
      <c r="A120" s="266" t="s">
        <v>1899</v>
      </c>
      <c r="B120" s="267" t="s">
        <v>1900</v>
      </c>
      <c r="C120" s="268">
        <v>5</v>
      </c>
      <c r="D120" s="267" t="s">
        <v>1901</v>
      </c>
      <c r="E120" s="268"/>
      <c r="F120" s="268"/>
      <c r="G120" s="267" t="s">
        <v>1902</v>
      </c>
      <c r="H120" s="268" t="s">
        <v>1726</v>
      </c>
      <c r="I120" s="268" t="s">
        <v>1648</v>
      </c>
      <c r="J120" s="268" t="s">
        <v>1649</v>
      </c>
      <c r="K120" s="268"/>
      <c r="L120" s="268"/>
      <c r="M120" s="268" t="s">
        <v>1771</v>
      </c>
      <c r="N120" s="268">
        <v>2</v>
      </c>
    </row>
    <row r="121" spans="1:14" x14ac:dyDescent="0.25">
      <c r="A121" s="269" t="s">
        <v>1903</v>
      </c>
      <c r="B121" s="264" t="s">
        <v>1904</v>
      </c>
      <c r="C121" s="265">
        <v>5</v>
      </c>
      <c r="D121" s="264" t="s">
        <v>1905</v>
      </c>
      <c r="E121" s="265"/>
      <c r="F121" s="265"/>
      <c r="G121" s="264" t="s">
        <v>1906</v>
      </c>
      <c r="H121" s="265"/>
      <c r="I121" s="265"/>
      <c r="J121" s="265"/>
      <c r="K121" s="265"/>
      <c r="L121" s="265"/>
      <c r="M121" s="265" t="s">
        <v>1907</v>
      </c>
      <c r="N121" s="265"/>
    </row>
    <row r="122" spans="1:14" x14ac:dyDescent="0.25">
      <c r="A122" s="266" t="s">
        <v>1908</v>
      </c>
      <c r="B122" s="267" t="s">
        <v>1909</v>
      </c>
      <c r="C122" s="268">
        <v>5</v>
      </c>
      <c r="D122" s="267" t="s">
        <v>1910</v>
      </c>
      <c r="E122" s="268"/>
      <c r="F122" s="268"/>
      <c r="G122" s="267" t="s">
        <v>1911</v>
      </c>
      <c r="H122" s="268"/>
      <c r="I122" s="268"/>
      <c r="J122" s="268"/>
      <c r="K122" s="268"/>
      <c r="L122" s="268"/>
      <c r="M122" s="272" t="s">
        <v>1912</v>
      </c>
      <c r="N122" s="268"/>
    </row>
    <row r="123" spans="1:14" ht="14.25" customHeight="1" x14ac:dyDescent="0.25">
      <c r="A123" s="269" t="s">
        <v>1913</v>
      </c>
      <c r="B123" s="264" t="s">
        <v>1914</v>
      </c>
      <c r="C123" s="265">
        <v>6</v>
      </c>
      <c r="D123" s="264" t="s">
        <v>1915</v>
      </c>
      <c r="E123" s="265"/>
      <c r="F123" s="265"/>
      <c r="G123" s="264"/>
      <c r="H123" s="265"/>
      <c r="I123" s="265"/>
      <c r="J123" s="265"/>
      <c r="K123" s="265"/>
      <c r="L123" s="265"/>
      <c r="M123" s="265" t="s">
        <v>1691</v>
      </c>
      <c r="N123" s="265">
        <v>3</v>
      </c>
    </row>
    <row r="124" spans="1:14" x14ac:dyDescent="0.25">
      <c r="A124" s="266" t="s">
        <v>1916</v>
      </c>
      <c r="B124" s="267"/>
      <c r="C124" s="268"/>
      <c r="D124" s="267"/>
      <c r="E124" s="268"/>
      <c r="F124" s="268"/>
      <c r="G124" s="267"/>
      <c r="H124" s="268"/>
      <c r="I124" s="268"/>
      <c r="J124" s="268"/>
      <c r="K124" s="268"/>
      <c r="L124" s="268"/>
      <c r="M124" s="268"/>
      <c r="N124" s="268"/>
    </row>
    <row r="125" spans="1:14" x14ac:dyDescent="0.25">
      <c r="A125" s="269" t="s">
        <v>1917</v>
      </c>
      <c r="B125" s="264"/>
      <c r="C125" s="265"/>
      <c r="D125" s="264"/>
      <c r="E125" s="265"/>
      <c r="F125" s="265"/>
      <c r="G125" s="264"/>
      <c r="H125" s="265"/>
      <c r="I125" s="265"/>
      <c r="J125" s="265"/>
      <c r="K125" s="265"/>
      <c r="L125" s="265"/>
      <c r="M125" s="265"/>
      <c r="N125" s="265"/>
    </row>
    <row r="126" spans="1:14" x14ac:dyDescent="0.25">
      <c r="A126" s="266" t="s">
        <v>1918</v>
      </c>
      <c r="B126" s="267"/>
      <c r="C126" s="268"/>
      <c r="D126" s="267"/>
      <c r="E126" s="268"/>
      <c r="F126" s="268"/>
      <c r="G126" s="267"/>
      <c r="H126" s="268"/>
      <c r="I126" s="268"/>
      <c r="J126" s="268"/>
      <c r="K126" s="268"/>
      <c r="L126" s="268"/>
      <c r="M126" s="268"/>
      <c r="N126" s="268"/>
    </row>
    <row r="127" spans="1:14" x14ac:dyDescent="0.25">
      <c r="A127" s="269" t="s">
        <v>1919</v>
      </c>
      <c r="B127" s="264" t="s">
        <v>1920</v>
      </c>
      <c r="C127" s="265">
        <v>5</v>
      </c>
      <c r="D127" s="270"/>
      <c r="E127" s="265"/>
      <c r="F127" s="265"/>
      <c r="G127" s="264" t="s">
        <v>1921</v>
      </c>
      <c r="H127" s="265" t="s">
        <v>1726</v>
      </c>
      <c r="I127" s="265" t="s">
        <v>1648</v>
      </c>
      <c r="J127" s="265" t="s">
        <v>1649</v>
      </c>
      <c r="K127" s="265"/>
      <c r="L127" s="265"/>
      <c r="M127" s="265"/>
      <c r="N127" s="265"/>
    </row>
    <row r="128" spans="1:14" x14ac:dyDescent="0.25">
      <c r="A128" s="266" t="s">
        <v>1922</v>
      </c>
      <c r="B128" s="267"/>
      <c r="C128" s="268"/>
      <c r="D128" s="267"/>
      <c r="E128" s="268"/>
      <c r="F128" s="268"/>
      <c r="G128" s="267"/>
      <c r="H128" s="268"/>
      <c r="I128" s="268"/>
      <c r="J128" s="268"/>
      <c r="K128" s="268"/>
      <c r="L128" s="268"/>
      <c r="M128" s="268"/>
      <c r="N128" s="268"/>
    </row>
    <row r="129" spans="1:14" x14ac:dyDescent="0.25">
      <c r="A129" s="269" t="s">
        <v>1923</v>
      </c>
      <c r="B129" s="264" t="s">
        <v>1924</v>
      </c>
      <c r="C129" s="265">
        <v>6</v>
      </c>
      <c r="D129" s="264" t="s">
        <v>1925</v>
      </c>
      <c r="E129" s="265"/>
      <c r="F129" s="265"/>
      <c r="G129" s="264"/>
      <c r="H129" s="265"/>
      <c r="I129" s="265"/>
      <c r="J129" s="265"/>
      <c r="K129" s="265"/>
      <c r="L129" s="265"/>
      <c r="M129" s="273">
        <v>0.27083333333333331</v>
      </c>
      <c r="N129" s="265"/>
    </row>
    <row r="130" spans="1:14" x14ac:dyDescent="0.25">
      <c r="A130" s="266" t="s">
        <v>1926</v>
      </c>
      <c r="B130" s="267" t="s">
        <v>1927</v>
      </c>
      <c r="C130" s="268">
        <v>5</v>
      </c>
      <c r="D130" s="267" t="s">
        <v>1928</v>
      </c>
      <c r="E130" s="268"/>
      <c r="F130" s="268"/>
      <c r="G130" s="267">
        <v>1157450336</v>
      </c>
      <c r="H130" s="268"/>
      <c r="I130" s="268" t="s">
        <v>1929</v>
      </c>
      <c r="J130" s="268"/>
      <c r="K130" s="268"/>
      <c r="L130" s="268"/>
      <c r="M130" s="268" t="s">
        <v>1930</v>
      </c>
      <c r="N130" s="268"/>
    </row>
    <row r="131" spans="1:14" x14ac:dyDescent="0.25">
      <c r="A131" s="269" t="s">
        <v>1931</v>
      </c>
      <c r="B131" s="264"/>
      <c r="C131" s="265"/>
      <c r="D131" s="264"/>
      <c r="E131" s="265"/>
      <c r="F131" s="265"/>
      <c r="G131" s="264"/>
      <c r="H131" s="265"/>
      <c r="I131" s="265"/>
      <c r="J131" s="265"/>
      <c r="K131" s="265"/>
      <c r="L131" s="265"/>
      <c r="M131" s="273"/>
      <c r="N131" s="265"/>
    </row>
    <row r="132" spans="1:14" x14ac:dyDescent="0.25">
      <c r="A132" s="266" t="s">
        <v>1932</v>
      </c>
      <c r="B132" s="267" t="s">
        <v>1933</v>
      </c>
      <c r="C132" s="268">
        <v>5</v>
      </c>
      <c r="D132" s="267" t="s">
        <v>1934</v>
      </c>
      <c r="E132" s="268"/>
      <c r="F132" s="268"/>
      <c r="G132" s="267" t="s">
        <v>1935</v>
      </c>
      <c r="H132" s="268" t="s">
        <v>1877</v>
      </c>
      <c r="I132" s="268" t="s">
        <v>1878</v>
      </c>
      <c r="J132" s="268" t="s">
        <v>1649</v>
      </c>
      <c r="K132" s="268"/>
      <c r="L132" s="268"/>
      <c r="M132" s="268"/>
      <c r="N132" s="268"/>
    </row>
    <row r="133" spans="1:14" x14ac:dyDescent="0.25">
      <c r="A133" s="269" t="s">
        <v>1936</v>
      </c>
      <c r="B133" s="264"/>
      <c r="C133" s="265"/>
      <c r="D133" s="264"/>
      <c r="E133" s="265"/>
      <c r="F133" s="265"/>
      <c r="G133" s="264"/>
      <c r="H133" s="265"/>
      <c r="I133" s="265"/>
      <c r="J133" s="265"/>
      <c r="K133" s="265"/>
      <c r="L133" s="265"/>
      <c r="M133" s="273"/>
      <c r="N133" s="265"/>
    </row>
    <row r="134" spans="1:14" x14ac:dyDescent="0.25">
      <c r="A134" s="266" t="s">
        <v>1937</v>
      </c>
      <c r="B134" s="267"/>
      <c r="C134" s="268"/>
      <c r="D134" s="267"/>
      <c r="E134" s="268"/>
      <c r="F134" s="268"/>
      <c r="G134" s="267"/>
      <c r="H134" s="268"/>
      <c r="I134" s="268"/>
      <c r="J134" s="268"/>
      <c r="K134" s="268"/>
      <c r="L134" s="268"/>
      <c r="M134" s="268"/>
      <c r="N134" s="268"/>
    </row>
    <row r="135" spans="1:14" x14ac:dyDescent="0.25">
      <c r="A135" s="269" t="s">
        <v>1938</v>
      </c>
      <c r="B135" s="264"/>
      <c r="C135" s="265"/>
      <c r="D135" s="264"/>
      <c r="E135" s="265"/>
      <c r="F135" s="265"/>
      <c r="G135" s="264"/>
      <c r="H135" s="265"/>
      <c r="I135" s="265"/>
      <c r="J135" s="265"/>
      <c r="K135" s="265"/>
      <c r="L135" s="265"/>
      <c r="M135" s="273"/>
      <c r="N135" s="265"/>
    </row>
    <row r="136" spans="1:14" x14ac:dyDescent="0.25">
      <c r="A136" s="266" t="s">
        <v>1939</v>
      </c>
      <c r="B136" s="267"/>
      <c r="C136" s="268"/>
      <c r="D136" s="267"/>
      <c r="E136" s="268"/>
      <c r="F136" s="268"/>
      <c r="G136" s="267"/>
      <c r="H136" s="268"/>
      <c r="I136" s="268"/>
      <c r="J136" s="268"/>
      <c r="K136" s="268"/>
      <c r="L136" s="268"/>
      <c r="M136" s="274"/>
      <c r="N136" s="268"/>
    </row>
    <row r="137" spans="1:14" x14ac:dyDescent="0.25">
      <c r="A137" s="269" t="s">
        <v>1940</v>
      </c>
      <c r="B137" s="264" t="s">
        <v>1941</v>
      </c>
      <c r="C137" s="265">
        <v>5</v>
      </c>
      <c r="D137" s="264" t="s">
        <v>1942</v>
      </c>
      <c r="E137" s="265"/>
      <c r="F137" s="265"/>
      <c r="G137" s="264" t="s">
        <v>1943</v>
      </c>
      <c r="H137" s="265" t="s">
        <v>1877</v>
      </c>
      <c r="I137" s="265" t="s">
        <v>1878</v>
      </c>
      <c r="J137" s="265" t="s">
        <v>1886</v>
      </c>
      <c r="K137" s="265"/>
      <c r="L137" s="265"/>
      <c r="M137" s="273"/>
      <c r="N137" s="265"/>
    </row>
    <row r="138" spans="1:14" x14ac:dyDescent="0.25">
      <c r="A138" s="266" t="s">
        <v>1944</v>
      </c>
      <c r="B138" s="267" t="s">
        <v>1945</v>
      </c>
      <c r="C138" s="268">
        <v>5</v>
      </c>
      <c r="D138" s="267" t="s">
        <v>1946</v>
      </c>
      <c r="E138" s="268"/>
      <c r="F138" s="268"/>
      <c r="G138" s="267">
        <v>1163973967</v>
      </c>
      <c r="H138" s="268" t="s">
        <v>1877</v>
      </c>
      <c r="I138" s="268" t="s">
        <v>1878</v>
      </c>
      <c r="J138" s="268" t="s">
        <v>1886</v>
      </c>
      <c r="K138" s="268"/>
      <c r="L138" s="268"/>
      <c r="M138" s="274" t="s">
        <v>1680</v>
      </c>
      <c r="N138" s="268"/>
    </row>
    <row r="139" spans="1:14" x14ac:dyDescent="0.25">
      <c r="A139" s="269" t="s">
        <v>1947</v>
      </c>
      <c r="B139" s="264" t="s">
        <v>1948</v>
      </c>
      <c r="C139" s="265">
        <v>5</v>
      </c>
      <c r="D139" s="264" t="s">
        <v>1949</v>
      </c>
      <c r="E139" s="265"/>
      <c r="F139" s="265"/>
      <c r="G139" s="264" t="s">
        <v>1950</v>
      </c>
      <c r="H139" s="265"/>
      <c r="I139" s="265"/>
      <c r="J139" s="265"/>
      <c r="K139" s="265"/>
      <c r="L139" s="265"/>
      <c r="M139" s="273"/>
      <c r="N139" s="265"/>
    </row>
    <row r="140" spans="1:14" x14ac:dyDescent="0.25">
      <c r="A140" s="266" t="s">
        <v>1951</v>
      </c>
      <c r="B140" s="267"/>
      <c r="C140" s="268"/>
      <c r="D140" s="267"/>
      <c r="E140" s="268"/>
      <c r="F140" s="268"/>
      <c r="G140" s="267"/>
      <c r="H140" s="268"/>
      <c r="I140" s="268"/>
      <c r="J140" s="268"/>
      <c r="K140" s="268"/>
      <c r="L140" s="268"/>
      <c r="M140" s="274"/>
      <c r="N140" s="268"/>
    </row>
    <row r="141" spans="1:14" x14ac:dyDescent="0.25">
      <c r="A141" s="269" t="s">
        <v>1952</v>
      </c>
      <c r="B141" s="264" t="s">
        <v>1953</v>
      </c>
      <c r="C141" s="265">
        <v>5</v>
      </c>
      <c r="D141" s="264" t="s">
        <v>1954</v>
      </c>
      <c r="E141" s="265"/>
      <c r="F141" s="265"/>
      <c r="G141" s="264">
        <v>1137945055</v>
      </c>
      <c r="H141" s="265"/>
      <c r="I141" s="265"/>
      <c r="J141" s="265"/>
      <c r="K141" s="265"/>
      <c r="L141" s="265"/>
      <c r="M141" s="273" t="s">
        <v>1833</v>
      </c>
      <c r="N141" s="265"/>
    </row>
    <row r="142" spans="1:14" x14ac:dyDescent="0.25">
      <c r="A142" s="266" t="s">
        <v>1955</v>
      </c>
      <c r="B142" s="267" t="s">
        <v>1956</v>
      </c>
      <c r="C142" s="268">
        <v>5</v>
      </c>
      <c r="D142" s="267" t="s">
        <v>1957</v>
      </c>
      <c r="E142" s="268"/>
      <c r="F142" s="268" t="s">
        <v>1958</v>
      </c>
      <c r="G142" s="267">
        <v>1153777080</v>
      </c>
      <c r="H142" s="268"/>
      <c r="I142" s="268" t="s">
        <v>1664</v>
      </c>
      <c r="J142" s="268"/>
      <c r="K142" s="268"/>
      <c r="L142" s="268"/>
      <c r="M142" s="274" t="s">
        <v>1959</v>
      </c>
      <c r="N142" s="268"/>
    </row>
    <row r="143" spans="1:14" x14ac:dyDescent="0.25">
      <c r="A143" s="269" t="s">
        <v>1960</v>
      </c>
      <c r="B143" s="264"/>
      <c r="C143" s="265"/>
      <c r="D143" s="264"/>
      <c r="E143" s="265"/>
      <c r="F143" s="265"/>
      <c r="G143" s="264"/>
      <c r="H143" s="265"/>
      <c r="I143" s="265"/>
      <c r="J143" s="265"/>
      <c r="K143" s="265"/>
      <c r="L143" s="265"/>
      <c r="M143" s="273"/>
      <c r="N143" s="265"/>
    </row>
    <row r="144" spans="1:14" x14ac:dyDescent="0.25">
      <c r="A144" s="266" t="s">
        <v>1961</v>
      </c>
      <c r="B144" s="267" t="s">
        <v>1962</v>
      </c>
      <c r="C144" s="268">
        <v>5</v>
      </c>
      <c r="D144" s="267" t="s">
        <v>1963</v>
      </c>
      <c r="E144" s="268"/>
      <c r="F144" s="268"/>
      <c r="G144" s="267" t="s">
        <v>1964</v>
      </c>
      <c r="H144" s="268" t="s">
        <v>1726</v>
      </c>
      <c r="I144" s="268" t="s">
        <v>1648</v>
      </c>
      <c r="J144" s="268" t="s">
        <v>1649</v>
      </c>
      <c r="K144" s="268"/>
      <c r="L144" s="268"/>
      <c r="M144" s="274"/>
      <c r="N144" s="268"/>
    </row>
    <row r="145" spans="1:14" x14ac:dyDescent="0.25">
      <c r="A145" s="269" t="s">
        <v>1965</v>
      </c>
      <c r="B145" s="264" t="s">
        <v>1966</v>
      </c>
      <c r="C145" s="265">
        <v>5</v>
      </c>
      <c r="D145" s="264" t="s">
        <v>1967</v>
      </c>
      <c r="E145" s="265"/>
      <c r="F145" s="265"/>
      <c r="G145" s="264" t="s">
        <v>1968</v>
      </c>
      <c r="H145" s="265" t="s">
        <v>1726</v>
      </c>
      <c r="I145" s="265" t="s">
        <v>1648</v>
      </c>
      <c r="J145" s="265" t="s">
        <v>1886</v>
      </c>
      <c r="K145" s="265"/>
      <c r="L145" s="265"/>
      <c r="M145" s="273"/>
      <c r="N145" s="265"/>
    </row>
    <row r="146" spans="1:14" x14ac:dyDescent="0.25">
      <c r="A146" s="266" t="s">
        <v>1969</v>
      </c>
      <c r="B146" s="267" t="s">
        <v>1970</v>
      </c>
      <c r="C146" s="268">
        <v>5</v>
      </c>
      <c r="D146" s="267" t="s">
        <v>1971</v>
      </c>
      <c r="E146" s="268"/>
      <c r="F146" s="268"/>
      <c r="G146" s="267" t="s">
        <v>1964</v>
      </c>
      <c r="H146" s="268" t="s">
        <v>1726</v>
      </c>
      <c r="I146" s="268" t="s">
        <v>1648</v>
      </c>
      <c r="J146" s="268" t="s">
        <v>1815</v>
      </c>
      <c r="K146" s="268"/>
      <c r="L146" s="268"/>
      <c r="M146" s="274"/>
      <c r="N146" s="268"/>
    </row>
    <row r="147" spans="1:14" x14ac:dyDescent="0.25">
      <c r="A147" s="269" t="s">
        <v>1972</v>
      </c>
      <c r="B147" s="264"/>
      <c r="C147" s="265"/>
      <c r="D147" s="264"/>
      <c r="E147" s="265"/>
      <c r="F147" s="265"/>
      <c r="G147" s="264"/>
      <c r="H147" s="265"/>
      <c r="I147" s="265"/>
      <c r="J147" s="265"/>
      <c r="K147" s="265"/>
      <c r="L147" s="265"/>
      <c r="M147" s="273"/>
      <c r="N147" s="265"/>
    </row>
    <row r="148" spans="1:14" x14ac:dyDescent="0.25">
      <c r="A148" s="266" t="s">
        <v>1973</v>
      </c>
      <c r="B148" s="267" t="s">
        <v>1974</v>
      </c>
      <c r="C148" s="268">
        <v>5</v>
      </c>
      <c r="D148" s="267" t="s">
        <v>1975</v>
      </c>
      <c r="E148" s="268"/>
      <c r="F148" s="268" t="s">
        <v>1975</v>
      </c>
      <c r="G148" s="267"/>
      <c r="H148" s="268"/>
      <c r="I148" s="268"/>
      <c r="J148" s="268"/>
      <c r="K148" s="268"/>
      <c r="L148" s="268"/>
      <c r="M148" s="274"/>
      <c r="N148" s="268"/>
    </row>
    <row r="149" spans="1:14" ht="16.5" customHeight="1" x14ac:dyDescent="0.25">
      <c r="A149" s="269" t="s">
        <v>1976</v>
      </c>
      <c r="B149" s="264" t="s">
        <v>1977</v>
      </c>
      <c r="C149" s="265">
        <v>5</v>
      </c>
      <c r="D149" s="264" t="s">
        <v>1978</v>
      </c>
      <c r="E149" s="265"/>
      <c r="F149" s="264" t="s">
        <v>1978</v>
      </c>
      <c r="G149" s="264">
        <v>1130054989</v>
      </c>
      <c r="H149" s="265"/>
      <c r="I149" s="265" t="s">
        <v>1549</v>
      </c>
      <c r="J149" s="265" t="s">
        <v>1979</v>
      </c>
      <c r="K149" s="265" t="s">
        <v>1980</v>
      </c>
      <c r="L149" s="265"/>
      <c r="M149" s="273"/>
      <c r="N149" s="265"/>
    </row>
    <row r="150" spans="1:14" x14ac:dyDescent="0.25">
      <c r="A150" s="266" t="s">
        <v>1981</v>
      </c>
      <c r="B150" s="267" t="s">
        <v>1982</v>
      </c>
      <c r="C150" s="268">
        <v>5</v>
      </c>
      <c r="D150" s="267" t="s">
        <v>1983</v>
      </c>
      <c r="E150" s="268"/>
      <c r="F150" s="268"/>
      <c r="G150" s="267">
        <v>1169911322</v>
      </c>
      <c r="H150" s="268"/>
      <c r="I150" s="268" t="s">
        <v>1929</v>
      </c>
      <c r="J150" s="268" t="s">
        <v>1984</v>
      </c>
      <c r="K150" s="268"/>
      <c r="L150" s="268"/>
      <c r="M150" s="274"/>
      <c r="N150" s="268"/>
    </row>
    <row r="151" spans="1:14" x14ac:dyDescent="0.25">
      <c r="A151" s="275" t="s">
        <v>1985</v>
      </c>
      <c r="B151" s="276" t="s">
        <v>1986</v>
      </c>
      <c r="C151" s="277">
        <v>7</v>
      </c>
      <c r="D151" s="276" t="s">
        <v>1742</v>
      </c>
      <c r="E151" s="277">
        <v>17</v>
      </c>
      <c r="F151" s="277" t="s">
        <v>1556</v>
      </c>
      <c r="G151" s="276" t="s">
        <v>1743</v>
      </c>
      <c r="H151" s="277" t="s">
        <v>1549</v>
      </c>
      <c r="I151" s="277" t="s">
        <v>1558</v>
      </c>
      <c r="J151" s="277" t="s">
        <v>1744</v>
      </c>
      <c r="K151" s="277" t="s">
        <v>1558</v>
      </c>
      <c r="L151" s="277" t="s">
        <v>1559</v>
      </c>
      <c r="M151" s="278"/>
      <c r="N151" s="277"/>
    </row>
    <row r="152" spans="1:14" x14ac:dyDescent="0.25">
      <c r="A152" s="266" t="s">
        <v>1987</v>
      </c>
      <c r="B152" s="267" t="s">
        <v>1988</v>
      </c>
      <c r="C152" s="268">
        <v>5</v>
      </c>
      <c r="D152" s="267" t="s">
        <v>1989</v>
      </c>
      <c r="E152" s="268"/>
      <c r="F152" s="268"/>
      <c r="G152" s="267" t="s">
        <v>1990</v>
      </c>
      <c r="H152" s="268"/>
      <c r="I152" s="268" t="s">
        <v>1929</v>
      </c>
      <c r="J152" s="268"/>
      <c r="K152" s="268"/>
      <c r="L152" s="268"/>
      <c r="M152" s="274" t="s">
        <v>1711</v>
      </c>
      <c r="N152" s="268"/>
    </row>
    <row r="153" spans="1:14" x14ac:dyDescent="0.25">
      <c r="A153" s="275" t="s">
        <v>1991</v>
      </c>
      <c r="B153" s="276" t="s">
        <v>1992</v>
      </c>
      <c r="C153" s="277">
        <v>5</v>
      </c>
      <c r="D153" s="276" t="s">
        <v>1993</v>
      </c>
      <c r="E153" s="277"/>
      <c r="F153" s="277"/>
      <c r="G153" s="276" t="s">
        <v>1994</v>
      </c>
      <c r="H153" s="277" t="s">
        <v>1549</v>
      </c>
      <c r="I153" s="277" t="s">
        <v>1735</v>
      </c>
      <c r="J153" s="277" t="s">
        <v>1995</v>
      </c>
      <c r="K153" s="277" t="s">
        <v>1996</v>
      </c>
      <c r="L153" s="277"/>
      <c r="M153" s="278" t="s">
        <v>1997</v>
      </c>
      <c r="N153" s="277"/>
    </row>
    <row r="154" spans="1:14" x14ac:dyDescent="0.25">
      <c r="A154" s="266" t="s">
        <v>1998</v>
      </c>
      <c r="B154" s="267" t="s">
        <v>1999</v>
      </c>
      <c r="C154" s="268">
        <v>5</v>
      </c>
      <c r="D154" s="267" t="s">
        <v>2000</v>
      </c>
      <c r="E154" s="268"/>
      <c r="F154" s="268"/>
      <c r="G154" s="267" t="s">
        <v>2001</v>
      </c>
      <c r="H154" s="268" t="s">
        <v>1549</v>
      </c>
      <c r="I154" s="268" t="s">
        <v>1735</v>
      </c>
      <c r="J154" s="268"/>
      <c r="K154" s="268"/>
      <c r="L154" s="268"/>
      <c r="M154" s="274"/>
      <c r="N154" s="268"/>
    </row>
    <row r="155" spans="1:14" x14ac:dyDescent="0.25">
      <c r="A155" s="275" t="s">
        <v>2002</v>
      </c>
      <c r="B155" s="276" t="s">
        <v>2003</v>
      </c>
      <c r="C155" s="277">
        <v>5</v>
      </c>
      <c r="D155" s="276" t="s">
        <v>2004</v>
      </c>
      <c r="E155" s="277"/>
      <c r="F155" s="277"/>
      <c r="G155" s="276" t="s">
        <v>2005</v>
      </c>
      <c r="H155" s="277" t="s">
        <v>1549</v>
      </c>
      <c r="I155" s="277" t="s">
        <v>1735</v>
      </c>
      <c r="J155" s="277"/>
      <c r="K155" s="277"/>
      <c r="L155" s="277"/>
      <c r="M155" s="278" t="s">
        <v>1685</v>
      </c>
      <c r="N155" s="277"/>
    </row>
    <row r="156" spans="1:14" x14ac:dyDescent="0.25">
      <c r="A156" s="266" t="s">
        <v>2006</v>
      </c>
      <c r="B156" s="267" t="s">
        <v>2007</v>
      </c>
      <c r="C156" s="268">
        <v>5</v>
      </c>
      <c r="D156" s="267" t="s">
        <v>2008</v>
      </c>
      <c r="E156" s="268"/>
      <c r="F156" s="268" t="s">
        <v>2009</v>
      </c>
      <c r="G156" s="267" t="s">
        <v>2010</v>
      </c>
      <c r="H156" s="268" t="s">
        <v>1549</v>
      </c>
      <c r="I156" s="268" t="s">
        <v>1735</v>
      </c>
      <c r="J156" s="268" t="s">
        <v>1664</v>
      </c>
      <c r="K156" s="268"/>
      <c r="L156" s="268"/>
      <c r="M156" s="274" t="s">
        <v>2011</v>
      </c>
      <c r="N156" s="268"/>
    </row>
    <row r="157" spans="1:14" x14ac:dyDescent="0.25">
      <c r="A157" s="275" t="s">
        <v>2012</v>
      </c>
      <c r="B157" s="276" t="s">
        <v>2013</v>
      </c>
      <c r="C157" s="277">
        <v>5</v>
      </c>
      <c r="D157" s="276"/>
      <c r="E157" s="277"/>
      <c r="F157" s="277"/>
      <c r="G157" s="276" t="s">
        <v>2014</v>
      </c>
      <c r="H157" s="277" t="s">
        <v>1877</v>
      </c>
      <c r="I157" s="277" t="s">
        <v>1878</v>
      </c>
      <c r="J157" s="277" t="s">
        <v>2015</v>
      </c>
      <c r="K157" s="277"/>
      <c r="L157" s="277"/>
      <c r="M157" s="278" t="s">
        <v>2016</v>
      </c>
      <c r="N157" s="277"/>
    </row>
    <row r="158" spans="1:14" x14ac:dyDescent="0.25">
      <c r="A158" s="266" t="s">
        <v>2017</v>
      </c>
      <c r="B158" s="267" t="s">
        <v>2018</v>
      </c>
      <c r="C158" s="268">
        <v>5</v>
      </c>
      <c r="D158" s="267" t="s">
        <v>2019</v>
      </c>
      <c r="E158" s="268"/>
      <c r="F158" s="268" t="s">
        <v>2009</v>
      </c>
      <c r="G158" s="267" t="s">
        <v>2020</v>
      </c>
      <c r="H158" s="268"/>
      <c r="I158" s="268"/>
      <c r="J158" s="268" t="s">
        <v>1664</v>
      </c>
      <c r="K158" s="268"/>
      <c r="L158" s="268"/>
      <c r="M158" s="274" t="s">
        <v>2021</v>
      </c>
      <c r="N158" s="268"/>
    </row>
    <row r="159" spans="1:14" x14ac:dyDescent="0.25">
      <c r="A159" s="275" t="s">
        <v>2022</v>
      </c>
      <c r="B159" s="276" t="s">
        <v>2023</v>
      </c>
      <c r="C159" s="277">
        <v>5</v>
      </c>
      <c r="D159" s="276" t="s">
        <v>2024</v>
      </c>
      <c r="E159" s="277"/>
      <c r="F159" s="277"/>
      <c r="G159" s="276" t="s">
        <v>2025</v>
      </c>
      <c r="H159" s="277" t="s">
        <v>1726</v>
      </c>
      <c r="I159" s="277" t="s">
        <v>1648</v>
      </c>
      <c r="J159" s="277" t="s">
        <v>1649</v>
      </c>
      <c r="K159" s="277"/>
      <c r="L159" s="277"/>
      <c r="M159" s="278"/>
      <c r="N159" s="277"/>
    </row>
    <row r="160" spans="1:14" x14ac:dyDescent="0.25">
      <c r="A160" s="266" t="s">
        <v>2026</v>
      </c>
      <c r="B160" s="267" t="s">
        <v>2027</v>
      </c>
      <c r="C160" s="268">
        <v>5</v>
      </c>
      <c r="D160" s="267" t="s">
        <v>2028</v>
      </c>
      <c r="E160" s="268"/>
      <c r="F160" s="268" t="s">
        <v>2009</v>
      </c>
      <c r="G160" s="267">
        <v>1135857106</v>
      </c>
      <c r="H160" s="268" t="s">
        <v>1549</v>
      </c>
      <c r="I160" s="268" t="s">
        <v>1735</v>
      </c>
      <c r="J160" s="268"/>
      <c r="K160" s="268"/>
      <c r="L160" s="268"/>
      <c r="M160" s="279" t="s">
        <v>2029</v>
      </c>
      <c r="N160" s="268"/>
    </row>
    <row r="161" spans="1:14" x14ac:dyDescent="0.25">
      <c r="A161" s="275" t="s">
        <v>2030</v>
      </c>
      <c r="B161" s="276" t="s">
        <v>2031</v>
      </c>
      <c r="C161" s="277">
        <v>5</v>
      </c>
      <c r="D161" s="276" t="s">
        <v>2032</v>
      </c>
      <c r="E161" s="277"/>
      <c r="F161" s="277" t="s">
        <v>2009</v>
      </c>
      <c r="G161" s="276" t="s">
        <v>2033</v>
      </c>
      <c r="H161" s="277" t="s">
        <v>1549</v>
      </c>
      <c r="I161" s="277" t="s">
        <v>1735</v>
      </c>
      <c r="J161" s="277"/>
      <c r="K161" s="277"/>
      <c r="L161" s="277"/>
      <c r="M161" s="278" t="s">
        <v>2034</v>
      </c>
      <c r="N161" s="277"/>
    </row>
    <row r="162" spans="1:14" x14ac:dyDescent="0.25">
      <c r="A162" s="266" t="s">
        <v>2035</v>
      </c>
      <c r="B162" s="267" t="s">
        <v>2036</v>
      </c>
      <c r="C162" s="268">
        <v>5</v>
      </c>
      <c r="D162" s="267" t="s">
        <v>2037</v>
      </c>
      <c r="E162" s="268"/>
      <c r="F162" s="268" t="s">
        <v>2009</v>
      </c>
      <c r="G162" s="267" t="s">
        <v>2038</v>
      </c>
      <c r="H162" s="268" t="s">
        <v>2039</v>
      </c>
      <c r="I162" s="268"/>
      <c r="J162" s="268"/>
      <c r="K162" s="268"/>
      <c r="L162" s="268"/>
      <c r="M162" s="274"/>
      <c r="N162" s="268"/>
    </row>
    <row r="163" spans="1:14" x14ac:dyDescent="0.25">
      <c r="A163" s="275" t="s">
        <v>2040</v>
      </c>
      <c r="B163" s="276" t="s">
        <v>2041</v>
      </c>
      <c r="C163" s="277">
        <v>5</v>
      </c>
      <c r="D163" s="276" t="s">
        <v>2042</v>
      </c>
      <c r="E163" s="277"/>
      <c r="F163" s="277" t="s">
        <v>2009</v>
      </c>
      <c r="G163" s="276" t="s">
        <v>2043</v>
      </c>
      <c r="H163" s="277" t="s">
        <v>2044</v>
      </c>
      <c r="I163" s="277" t="s">
        <v>1648</v>
      </c>
      <c r="J163" s="277" t="s">
        <v>1649</v>
      </c>
      <c r="K163" s="277"/>
      <c r="L163" s="277"/>
      <c r="M163" s="278"/>
      <c r="N163" s="277"/>
    </row>
    <row r="164" spans="1:14" x14ac:dyDescent="0.25">
      <c r="A164" s="266" t="s">
        <v>2045</v>
      </c>
      <c r="B164" s="267" t="s">
        <v>2046</v>
      </c>
      <c r="C164" s="268">
        <v>5</v>
      </c>
      <c r="D164" s="267" t="s">
        <v>2047</v>
      </c>
      <c r="E164" s="268"/>
      <c r="F164" s="268"/>
      <c r="G164" s="267">
        <v>1140796709</v>
      </c>
      <c r="H164" s="268" t="s">
        <v>2039</v>
      </c>
      <c r="I164" s="268"/>
      <c r="J164" s="268"/>
      <c r="K164" s="268" t="s">
        <v>2048</v>
      </c>
      <c r="L164" s="268"/>
      <c r="M164" s="274"/>
      <c r="N164" s="268"/>
    </row>
    <row r="165" spans="1:14" x14ac:dyDescent="0.25">
      <c r="A165" s="275" t="s">
        <v>2049</v>
      </c>
      <c r="B165" s="276" t="s">
        <v>2050</v>
      </c>
      <c r="C165" s="277">
        <v>5</v>
      </c>
      <c r="D165" s="276" t="s">
        <v>2051</v>
      </c>
      <c r="E165" s="277"/>
      <c r="F165" s="277"/>
      <c r="G165" s="276">
        <v>1130477784</v>
      </c>
      <c r="H165" s="277"/>
      <c r="I165" s="277"/>
      <c r="J165" s="277"/>
      <c r="K165" s="277"/>
      <c r="L165" s="277"/>
      <c r="M165" s="278" t="s">
        <v>2052</v>
      </c>
      <c r="N165" s="277"/>
    </row>
    <row r="166" spans="1:14" x14ac:dyDescent="0.25">
      <c r="A166" s="266" t="s">
        <v>2053</v>
      </c>
      <c r="B166" s="267" t="s">
        <v>2054</v>
      </c>
      <c r="C166" s="268">
        <v>6</v>
      </c>
      <c r="D166" s="267" t="s">
        <v>2055</v>
      </c>
      <c r="E166" s="268"/>
      <c r="F166" s="268" t="s">
        <v>2009</v>
      </c>
      <c r="G166" s="267"/>
      <c r="H166" s="268"/>
      <c r="I166" s="268"/>
      <c r="J166" s="268"/>
      <c r="K166" s="268"/>
      <c r="L166" s="268"/>
      <c r="M166" s="274"/>
      <c r="N166" s="268"/>
    </row>
    <row r="167" spans="1:14" x14ac:dyDescent="0.25">
      <c r="A167" s="275" t="s">
        <v>2056</v>
      </c>
      <c r="B167" s="276" t="s">
        <v>2057</v>
      </c>
      <c r="C167" s="277">
        <v>5</v>
      </c>
      <c r="D167" s="276" t="s">
        <v>2058</v>
      </c>
      <c r="E167" s="277"/>
      <c r="F167" s="277"/>
      <c r="G167" s="276"/>
      <c r="H167" s="277"/>
      <c r="I167" s="277"/>
      <c r="J167" s="277"/>
      <c r="K167" s="277"/>
      <c r="L167" s="277"/>
      <c r="M167" s="278"/>
      <c r="N167" s="277"/>
    </row>
    <row r="168" spans="1:14" x14ac:dyDescent="0.25">
      <c r="A168" s="266" t="s">
        <v>2059</v>
      </c>
      <c r="B168" s="267" t="s">
        <v>2060</v>
      </c>
      <c r="C168" s="268">
        <v>5</v>
      </c>
      <c r="D168" s="267" t="s">
        <v>2061</v>
      </c>
      <c r="E168" s="268"/>
      <c r="F168" s="268"/>
      <c r="G168" s="267" t="s">
        <v>2062</v>
      </c>
      <c r="H168" s="268"/>
      <c r="I168" s="268"/>
      <c r="J168" s="268"/>
      <c r="K168" s="268"/>
      <c r="L168" s="268"/>
      <c r="M168" s="274"/>
      <c r="N168" s="268"/>
    </row>
    <row r="169" spans="1:14" x14ac:dyDescent="0.25">
      <c r="A169" s="275" t="s">
        <v>2063</v>
      </c>
      <c r="B169" s="276" t="s">
        <v>2064</v>
      </c>
      <c r="C169" s="277">
        <v>5</v>
      </c>
      <c r="D169" s="280" t="s">
        <v>2065</v>
      </c>
      <c r="E169" s="277"/>
      <c r="F169" s="277"/>
      <c r="G169" s="276" t="s">
        <v>2066</v>
      </c>
      <c r="H169" s="277" t="s">
        <v>1877</v>
      </c>
      <c r="I169" s="277" t="s">
        <v>1878</v>
      </c>
      <c r="J169" s="277" t="s">
        <v>1886</v>
      </c>
      <c r="K169" s="277"/>
      <c r="L169" s="277"/>
      <c r="M169" s="278"/>
      <c r="N169" s="277"/>
    </row>
    <row r="170" spans="1:14" x14ac:dyDescent="0.25">
      <c r="A170" s="275" t="s">
        <v>2067</v>
      </c>
      <c r="B170" s="267" t="s">
        <v>2068</v>
      </c>
      <c r="C170" s="268">
        <v>7</v>
      </c>
      <c r="D170" s="267" t="s">
        <v>2069</v>
      </c>
      <c r="E170" s="268"/>
      <c r="F170" s="268" t="s">
        <v>2009</v>
      </c>
      <c r="G170" s="267" t="s">
        <v>2070</v>
      </c>
      <c r="H170" s="268" t="s">
        <v>1549</v>
      </c>
      <c r="I170" s="277"/>
      <c r="J170" s="277"/>
      <c r="K170" s="277"/>
      <c r="L170" s="277"/>
      <c r="M170" s="278"/>
      <c r="N170" s="277"/>
    </row>
    <row r="171" spans="1:14" x14ac:dyDescent="0.25">
      <c r="A171" s="266" t="s">
        <v>2071</v>
      </c>
      <c r="B171" s="267" t="s">
        <v>2072</v>
      </c>
      <c r="C171" s="268">
        <v>5</v>
      </c>
      <c r="D171" s="267" t="s">
        <v>2073</v>
      </c>
      <c r="E171" s="268"/>
      <c r="F171" s="267" t="s">
        <v>2009</v>
      </c>
      <c r="G171" s="267" t="s">
        <v>2066</v>
      </c>
      <c r="H171" s="268" t="s">
        <v>2039</v>
      </c>
      <c r="I171" s="268" t="s">
        <v>1648</v>
      </c>
      <c r="J171" s="268" t="s">
        <v>2074</v>
      </c>
      <c r="K171" s="268"/>
      <c r="L171" s="268"/>
      <c r="M171" s="281" t="s">
        <v>1863</v>
      </c>
      <c r="N171" s="268"/>
    </row>
    <row r="172" spans="1:14" x14ac:dyDescent="0.25">
      <c r="A172" s="266" t="s">
        <v>2075</v>
      </c>
      <c r="B172" s="267" t="s">
        <v>2076</v>
      </c>
      <c r="C172" s="268">
        <v>5</v>
      </c>
      <c r="D172" s="267" t="s">
        <v>2077</v>
      </c>
      <c r="E172" s="268"/>
      <c r="F172" s="267"/>
      <c r="G172" s="267" t="s">
        <v>2078</v>
      </c>
      <c r="H172" s="268" t="s">
        <v>2044</v>
      </c>
      <c r="I172" s="268" t="s">
        <v>1648</v>
      </c>
      <c r="J172" s="268" t="s">
        <v>1649</v>
      </c>
      <c r="K172" s="268"/>
      <c r="L172" s="268"/>
      <c r="M172" s="281"/>
      <c r="N172" s="268"/>
    </row>
    <row r="173" spans="1:14" x14ac:dyDescent="0.25">
      <c r="A173" s="266" t="s">
        <v>2079</v>
      </c>
      <c r="B173" s="267" t="s">
        <v>2080</v>
      </c>
      <c r="C173" s="268">
        <v>6</v>
      </c>
      <c r="D173" s="267"/>
      <c r="E173" s="268"/>
      <c r="F173" s="267"/>
      <c r="G173" s="267"/>
      <c r="H173" s="268"/>
      <c r="I173" s="268"/>
      <c r="J173" s="268"/>
      <c r="K173" s="268"/>
      <c r="L173" s="268"/>
      <c r="M173" s="281"/>
      <c r="N173" s="268"/>
    </row>
    <row r="174" spans="1:14" x14ac:dyDescent="0.25">
      <c r="A174" s="282" t="s">
        <v>2081</v>
      </c>
      <c r="B174" s="283" t="s">
        <v>2082</v>
      </c>
      <c r="C174" s="284">
        <v>5</v>
      </c>
      <c r="D174" s="283"/>
      <c r="E174" s="284">
        <v>1</v>
      </c>
      <c r="F174" s="284"/>
      <c r="G174" s="283"/>
      <c r="H174" s="284"/>
      <c r="I174" s="284"/>
      <c r="J174" s="284"/>
      <c r="K174" s="284"/>
      <c r="L174" s="284"/>
      <c r="M174" s="284"/>
      <c r="N174" s="284"/>
    </row>
    <row r="175" spans="1:14" x14ac:dyDescent="0.25">
      <c r="A175" s="282" t="s">
        <v>2083</v>
      </c>
      <c r="B175" s="283" t="s">
        <v>2084</v>
      </c>
      <c r="C175" s="284">
        <v>4</v>
      </c>
      <c r="D175" s="283"/>
      <c r="E175" s="284">
        <v>0</v>
      </c>
      <c r="F175" s="284"/>
      <c r="G175" s="283"/>
      <c r="H175" s="284"/>
      <c r="I175" s="284"/>
      <c r="J175" s="284"/>
      <c r="K175" s="284"/>
      <c r="L175" s="284"/>
      <c r="M175" s="284"/>
      <c r="N175" s="284"/>
    </row>
    <row r="176" spans="1:14" x14ac:dyDescent="0.25">
      <c r="A176" s="285" t="s">
        <v>2085</v>
      </c>
      <c r="B176" s="286" t="s">
        <v>2086</v>
      </c>
      <c r="C176" s="287">
        <v>4</v>
      </c>
      <c r="D176" s="286"/>
      <c r="E176" s="287">
        <v>0</v>
      </c>
      <c r="F176" s="287"/>
      <c r="G176" s="286"/>
      <c r="H176" s="287"/>
      <c r="I176" s="287"/>
      <c r="J176" s="287"/>
      <c r="K176" s="287"/>
      <c r="L176" s="287"/>
      <c r="M176" s="287"/>
      <c r="N176" s="287"/>
    </row>
    <row r="177" spans="1:14" x14ac:dyDescent="0.25">
      <c r="A177" s="285" t="s">
        <v>2087</v>
      </c>
      <c r="B177" s="286" t="s">
        <v>2088</v>
      </c>
      <c r="C177" s="287">
        <v>4</v>
      </c>
      <c r="D177" s="286"/>
      <c r="E177" s="287">
        <v>0</v>
      </c>
      <c r="F177" s="287"/>
      <c r="G177" s="286"/>
      <c r="H177" s="287"/>
      <c r="I177" s="287"/>
      <c r="J177" s="287"/>
      <c r="K177" s="287"/>
      <c r="L177" s="287"/>
      <c r="M177" s="287"/>
      <c r="N177" s="287"/>
    </row>
    <row r="178" spans="1:14" x14ac:dyDescent="0.25">
      <c r="A178" s="285" t="s">
        <v>2089</v>
      </c>
      <c r="B178" s="286" t="s">
        <v>2090</v>
      </c>
      <c r="C178" s="287">
        <v>4</v>
      </c>
      <c r="D178" s="286"/>
      <c r="E178" s="287">
        <v>0</v>
      </c>
      <c r="F178" s="287"/>
      <c r="G178" s="286"/>
      <c r="H178" s="287"/>
      <c r="I178" s="287"/>
      <c r="J178" s="287"/>
      <c r="K178" s="287"/>
      <c r="L178" s="287"/>
      <c r="M178" s="287"/>
      <c r="N178" s="287"/>
    </row>
    <row r="179" spans="1:14" x14ac:dyDescent="0.25">
      <c r="A179" s="285" t="s">
        <v>2091</v>
      </c>
      <c r="B179" s="286" t="s">
        <v>2092</v>
      </c>
      <c r="C179" s="287">
        <v>4</v>
      </c>
      <c r="D179" s="286"/>
      <c r="E179" s="287">
        <v>0</v>
      </c>
      <c r="F179" s="287"/>
      <c r="G179" s="286"/>
      <c r="H179" s="287"/>
      <c r="I179" s="287"/>
      <c r="J179" s="287"/>
      <c r="K179" s="287"/>
      <c r="L179" s="287"/>
      <c r="M179" s="287"/>
      <c r="N179" s="287"/>
    </row>
    <row r="180" spans="1:14" x14ac:dyDescent="0.25">
      <c r="A180" s="285" t="s">
        <v>2093</v>
      </c>
      <c r="B180" s="286" t="s">
        <v>2094</v>
      </c>
      <c r="C180" s="287">
        <v>4</v>
      </c>
      <c r="D180" s="286"/>
      <c r="E180" s="287">
        <v>0</v>
      </c>
      <c r="F180" s="287"/>
      <c r="G180" s="286"/>
      <c r="H180" s="287"/>
      <c r="I180" s="287"/>
      <c r="J180" s="287"/>
      <c r="K180" s="287"/>
      <c r="L180" s="287"/>
      <c r="M180" s="287"/>
      <c r="N180" s="287"/>
    </row>
    <row r="181" spans="1:14" x14ac:dyDescent="0.25">
      <c r="A181" s="285" t="s">
        <v>2095</v>
      </c>
      <c r="B181" s="286" t="s">
        <v>2096</v>
      </c>
      <c r="C181" s="287">
        <v>4</v>
      </c>
      <c r="D181" s="286"/>
      <c r="E181" s="287">
        <v>0</v>
      </c>
      <c r="F181" s="287"/>
      <c r="G181" s="286"/>
      <c r="H181" s="287"/>
      <c r="I181" s="287"/>
      <c r="J181" s="287"/>
      <c r="K181" s="287"/>
      <c r="L181" s="287"/>
      <c r="M181" s="287"/>
      <c r="N181" s="287"/>
    </row>
    <row r="182" spans="1:14" x14ac:dyDescent="0.25">
      <c r="A182" s="285" t="s">
        <v>2097</v>
      </c>
      <c r="B182" s="286" t="s">
        <v>2098</v>
      </c>
      <c r="C182" s="287">
        <v>4</v>
      </c>
      <c r="D182" s="286"/>
      <c r="E182" s="287">
        <v>0</v>
      </c>
      <c r="F182" s="287"/>
      <c r="G182" s="286"/>
      <c r="H182" s="287"/>
      <c r="I182" s="287"/>
      <c r="J182" s="287"/>
      <c r="K182" s="287"/>
      <c r="L182" s="287"/>
      <c r="M182" s="287"/>
      <c r="N182" s="287"/>
    </row>
    <row r="183" spans="1:14" x14ac:dyDescent="0.25">
      <c r="A183" s="285" t="s">
        <v>2099</v>
      </c>
      <c r="B183" s="286" t="s">
        <v>2100</v>
      </c>
      <c r="C183" s="287">
        <v>4</v>
      </c>
      <c r="D183" s="286"/>
      <c r="E183" s="287">
        <v>0</v>
      </c>
      <c r="F183" s="287"/>
      <c r="G183" s="286"/>
      <c r="H183" s="287"/>
      <c r="I183" s="287"/>
      <c r="J183" s="287"/>
      <c r="K183" s="287"/>
      <c r="L183" s="287"/>
      <c r="M183" s="287"/>
      <c r="N183" s="287"/>
    </row>
    <row r="184" spans="1:14" x14ac:dyDescent="0.25">
      <c r="A184" s="285" t="s">
        <v>2101</v>
      </c>
      <c r="B184" s="286" t="s">
        <v>2102</v>
      </c>
      <c r="C184" s="287">
        <v>4</v>
      </c>
      <c r="D184" s="286"/>
      <c r="E184" s="287">
        <v>0</v>
      </c>
      <c r="F184" s="287"/>
      <c r="G184" s="286"/>
      <c r="H184" s="287"/>
      <c r="I184" s="287"/>
      <c r="J184" s="287"/>
      <c r="K184" s="287"/>
      <c r="L184" s="287"/>
      <c r="M184" s="287"/>
      <c r="N184" s="287"/>
    </row>
    <row r="185" spans="1:14" x14ac:dyDescent="0.25">
      <c r="A185" s="285" t="s">
        <v>2103</v>
      </c>
      <c r="B185" s="286" t="s">
        <v>2104</v>
      </c>
      <c r="C185" s="287">
        <v>5</v>
      </c>
      <c r="D185" s="286"/>
      <c r="E185" s="287">
        <v>1</v>
      </c>
      <c r="F185" s="287"/>
      <c r="G185" s="286"/>
      <c r="H185" s="287"/>
      <c r="I185" s="287"/>
      <c r="J185" s="287"/>
      <c r="K185" s="287"/>
      <c r="L185" s="287"/>
      <c r="M185" s="287"/>
      <c r="N185" s="287"/>
    </row>
    <row r="186" spans="1:14" x14ac:dyDescent="0.25">
      <c r="A186" s="285" t="s">
        <v>2105</v>
      </c>
      <c r="B186" s="286" t="s">
        <v>2106</v>
      </c>
      <c r="C186" s="287">
        <v>5</v>
      </c>
      <c r="D186" s="286"/>
      <c r="E186" s="287">
        <v>1</v>
      </c>
      <c r="F186" s="287"/>
      <c r="G186" s="286"/>
      <c r="H186" s="287"/>
      <c r="I186" s="287"/>
      <c r="J186" s="287"/>
      <c r="K186" s="287"/>
      <c r="L186" s="287"/>
      <c r="M186" s="284"/>
      <c r="N186" s="284"/>
    </row>
    <row r="187" spans="1:14" x14ac:dyDescent="0.25">
      <c r="A187" s="285" t="s">
        <v>2107</v>
      </c>
      <c r="B187" s="286" t="s">
        <v>2108</v>
      </c>
      <c r="C187" s="287">
        <v>4</v>
      </c>
      <c r="D187" s="286"/>
      <c r="E187" s="287">
        <v>0</v>
      </c>
      <c r="F187" s="287"/>
      <c r="G187" s="286"/>
      <c r="H187" s="287"/>
      <c r="I187" s="287"/>
      <c r="J187" s="287"/>
      <c r="K187" s="287"/>
      <c r="L187" s="287"/>
      <c r="M187" s="284"/>
      <c r="N187" s="284"/>
    </row>
    <row r="188" spans="1:14" x14ac:dyDescent="0.25">
      <c r="A188" s="285" t="s">
        <v>2109</v>
      </c>
      <c r="B188" s="286" t="s">
        <v>2110</v>
      </c>
      <c r="C188" s="287">
        <v>4</v>
      </c>
      <c r="D188" s="286"/>
      <c r="E188" s="287">
        <v>0</v>
      </c>
      <c r="F188" s="287"/>
      <c r="G188" s="286"/>
      <c r="H188" s="287"/>
      <c r="I188" s="287"/>
      <c r="J188" s="287"/>
      <c r="K188" s="287"/>
      <c r="L188" s="287"/>
      <c r="M188" s="287"/>
      <c r="N188" s="287"/>
    </row>
    <row r="189" spans="1:14" x14ac:dyDescent="0.25">
      <c r="A189" s="285" t="s">
        <v>2111</v>
      </c>
      <c r="B189" s="286" t="s">
        <v>2112</v>
      </c>
      <c r="C189" s="287">
        <v>4</v>
      </c>
      <c r="D189" s="286"/>
      <c r="E189" s="287">
        <v>0</v>
      </c>
      <c r="F189" s="287"/>
      <c r="G189" s="286"/>
      <c r="H189" s="287"/>
      <c r="I189" s="287"/>
      <c r="J189" s="287"/>
      <c r="K189" s="287"/>
      <c r="L189" s="287"/>
      <c r="M189" s="287"/>
      <c r="N189" s="287"/>
    </row>
    <row r="190" spans="1:14" x14ac:dyDescent="0.25">
      <c r="A190" s="285" t="s">
        <v>2113</v>
      </c>
      <c r="B190" s="286" t="s">
        <v>2114</v>
      </c>
      <c r="C190" s="287">
        <v>4</v>
      </c>
      <c r="D190" s="286"/>
      <c r="E190" s="287">
        <v>0</v>
      </c>
      <c r="F190" s="287"/>
      <c r="G190" s="286"/>
      <c r="H190" s="287"/>
      <c r="I190" s="287"/>
      <c r="J190" s="287"/>
      <c r="K190" s="287"/>
      <c r="L190" s="287"/>
      <c r="M190" s="287"/>
      <c r="N190" s="287"/>
    </row>
    <row r="191" spans="1:14" x14ac:dyDescent="0.25">
      <c r="A191" s="285" t="s">
        <v>2115</v>
      </c>
      <c r="B191" s="286" t="s">
        <v>2116</v>
      </c>
      <c r="C191" s="287">
        <v>4</v>
      </c>
      <c r="D191" s="286"/>
      <c r="E191" s="287">
        <v>0</v>
      </c>
      <c r="F191" s="287"/>
      <c r="G191" s="286"/>
      <c r="H191" s="287"/>
      <c r="I191" s="287"/>
      <c r="J191" s="287"/>
      <c r="K191" s="287"/>
      <c r="L191" s="287"/>
      <c r="M191" s="287"/>
      <c r="N191" s="287"/>
    </row>
    <row r="192" spans="1:14" x14ac:dyDescent="0.25">
      <c r="A192" s="285" t="s">
        <v>2117</v>
      </c>
      <c r="B192" s="286" t="s">
        <v>2118</v>
      </c>
      <c r="C192" s="287">
        <v>4</v>
      </c>
      <c r="D192" s="286"/>
      <c r="E192" s="287">
        <v>0</v>
      </c>
      <c r="F192" s="287"/>
      <c r="G192" s="286"/>
      <c r="H192" s="287"/>
      <c r="I192" s="287"/>
      <c r="J192" s="287"/>
      <c r="K192" s="287"/>
      <c r="L192" s="287"/>
      <c r="M192" s="287"/>
      <c r="N192" s="287"/>
    </row>
    <row r="193" spans="1:14" x14ac:dyDescent="0.25">
      <c r="A193" s="285" t="s">
        <v>2119</v>
      </c>
      <c r="B193" s="286" t="s">
        <v>2120</v>
      </c>
      <c r="C193" s="287">
        <v>4</v>
      </c>
      <c r="D193" s="286"/>
      <c r="E193" s="287">
        <v>0</v>
      </c>
      <c r="F193" s="287"/>
      <c r="G193" s="286"/>
      <c r="H193" s="287"/>
      <c r="I193" s="287"/>
      <c r="J193" s="287"/>
      <c r="K193" s="287"/>
      <c r="L193" s="287"/>
      <c r="M193" s="287"/>
      <c r="N193" s="287"/>
    </row>
    <row r="194" spans="1:14" x14ac:dyDescent="0.25">
      <c r="A194" s="285" t="s">
        <v>2121</v>
      </c>
      <c r="B194" s="286"/>
      <c r="C194" s="287"/>
      <c r="D194" s="286"/>
      <c r="E194" s="287"/>
      <c r="F194" s="287"/>
      <c r="G194" s="286"/>
      <c r="H194" s="287"/>
      <c r="I194" s="287"/>
      <c r="J194" s="287"/>
      <c r="K194" s="287"/>
      <c r="L194" s="287"/>
      <c r="M194" s="287"/>
      <c r="N194" s="287"/>
    </row>
    <row r="195" spans="1:14" x14ac:dyDescent="0.25">
      <c r="A195" s="285" t="s">
        <v>2122</v>
      </c>
      <c r="B195" s="286"/>
      <c r="C195" s="287"/>
      <c r="D195" s="286"/>
      <c r="E195" s="287"/>
      <c r="F195" s="287"/>
      <c r="G195" s="286"/>
      <c r="H195" s="287"/>
      <c r="I195" s="287"/>
      <c r="J195" s="287"/>
      <c r="K195" s="287"/>
      <c r="L195" s="287"/>
      <c r="M195" s="287"/>
      <c r="N195" s="287"/>
    </row>
    <row r="196" spans="1:14" x14ac:dyDescent="0.25">
      <c r="A196" s="285" t="s">
        <v>2123</v>
      </c>
      <c r="B196" s="286"/>
      <c r="C196" s="287"/>
      <c r="D196" s="286"/>
      <c r="E196" s="287"/>
      <c r="F196" s="287"/>
      <c r="G196" s="286"/>
      <c r="H196" s="287"/>
      <c r="I196" s="287"/>
      <c r="J196" s="287"/>
      <c r="K196" s="287"/>
      <c r="L196" s="287"/>
      <c r="M196" s="287"/>
      <c r="N196" s="287"/>
    </row>
    <row r="197" spans="1:14" x14ac:dyDescent="0.25">
      <c r="A197" s="285" t="s">
        <v>2124</v>
      </c>
      <c r="B197" s="286"/>
      <c r="C197" s="287"/>
      <c r="D197" s="286"/>
      <c r="E197" s="287"/>
      <c r="F197" s="287"/>
      <c r="G197" s="286"/>
      <c r="H197" s="287"/>
      <c r="I197" s="287"/>
      <c r="J197" s="287"/>
      <c r="K197" s="287"/>
      <c r="L197" s="287"/>
      <c r="M197" s="287"/>
      <c r="N197" s="287"/>
    </row>
    <row r="198" spans="1:14" x14ac:dyDescent="0.25">
      <c r="A198" s="266"/>
      <c r="B198" s="267"/>
      <c r="C198" s="268"/>
      <c r="D198" s="267"/>
      <c r="E198" s="268"/>
      <c r="F198" s="268"/>
      <c r="G198" s="267"/>
      <c r="H198" s="268"/>
      <c r="I198" s="268"/>
      <c r="J198" s="268"/>
      <c r="K198" s="268"/>
      <c r="L198" s="268"/>
      <c r="M198" s="268"/>
      <c r="N198" s="268"/>
    </row>
    <row r="199" spans="1:14" x14ac:dyDescent="0.25">
      <c r="A199" s="285"/>
      <c r="B199" s="286"/>
      <c r="C199" s="287"/>
      <c r="D199" s="286"/>
      <c r="E199" s="287"/>
      <c r="F199" s="287"/>
      <c r="G199" s="286"/>
      <c r="H199" s="287"/>
      <c r="I199" s="287"/>
      <c r="J199" s="287"/>
      <c r="K199" s="287"/>
      <c r="L199" s="287"/>
      <c r="M199" s="287"/>
      <c r="N199" s="287"/>
    </row>
    <row r="200" spans="1:14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 s="287"/>
      <c r="N200" s="287"/>
    </row>
    <row r="201" spans="1:14" x14ac:dyDescent="0.25">
      <c r="A201"/>
      <c r="B201"/>
      <c r="C201" s="260" t="s">
        <v>2125</v>
      </c>
      <c r="D201"/>
      <c r="E201"/>
      <c r="F201"/>
      <c r="G201"/>
      <c r="H201"/>
      <c r="I201"/>
      <c r="J201"/>
      <c r="K201"/>
      <c r="L201"/>
      <c r="M201" s="287"/>
      <c r="N201" s="287"/>
    </row>
    <row r="202" spans="1:14" x14ac:dyDescent="0.25">
      <c r="A202"/>
      <c r="B202" s="288" t="s">
        <v>2126</v>
      </c>
      <c r="C202" s="289">
        <v>76</v>
      </c>
      <c r="D202"/>
      <c r="E202"/>
      <c r="F202"/>
      <c r="G202"/>
      <c r="H202"/>
      <c r="I202"/>
      <c r="J202"/>
      <c r="K202"/>
      <c r="L202"/>
      <c r="M202" s="287"/>
      <c r="N202" s="287"/>
    </row>
    <row r="203" spans="1:14" x14ac:dyDescent="0.25">
      <c r="A203"/>
      <c r="B203" s="288" t="s">
        <v>2127</v>
      </c>
      <c r="C203" s="289">
        <v>6</v>
      </c>
      <c r="D203"/>
      <c r="E203"/>
      <c r="F203"/>
      <c r="G203"/>
      <c r="H203"/>
      <c r="I203"/>
      <c r="J203"/>
      <c r="K203"/>
      <c r="L203"/>
      <c r="M203" s="287"/>
      <c r="N203" s="287"/>
    </row>
    <row r="204" spans="1:14" x14ac:dyDescent="0.25">
      <c r="A204"/>
      <c r="B204" s="288" t="s">
        <v>2128</v>
      </c>
      <c r="C204" s="289">
        <v>5</v>
      </c>
      <c r="D204"/>
      <c r="E204"/>
      <c r="F204"/>
      <c r="G204"/>
      <c r="H204"/>
      <c r="I204"/>
      <c r="J204"/>
      <c r="K204"/>
      <c r="L204"/>
      <c r="M204" s="287"/>
      <c r="N204" s="287"/>
    </row>
    <row r="205" spans="1:14" x14ac:dyDescent="0.25">
      <c r="A205"/>
      <c r="B205" s="290" t="s">
        <v>2129</v>
      </c>
      <c r="C205" s="291">
        <v>0</v>
      </c>
      <c r="D205"/>
      <c r="E205"/>
      <c r="F205"/>
      <c r="G205"/>
      <c r="H205"/>
      <c r="I205"/>
      <c r="J205"/>
      <c r="K205"/>
      <c r="L205"/>
      <c r="M205" s="287"/>
      <c r="N205" s="287"/>
    </row>
    <row r="206" spans="1:14" x14ac:dyDescent="0.25">
      <c r="A206"/>
      <c r="B206" s="290" t="s">
        <v>2130</v>
      </c>
      <c r="C206" s="291">
        <v>0</v>
      </c>
      <c r="D206"/>
      <c r="E206"/>
      <c r="F206"/>
      <c r="G206"/>
      <c r="H206"/>
      <c r="I206"/>
      <c r="J206"/>
      <c r="K206"/>
      <c r="L206"/>
      <c r="M206" s="287"/>
      <c r="N206" s="287"/>
    </row>
    <row r="207" spans="1:14" x14ac:dyDescent="0.25">
      <c r="A207"/>
      <c r="B207" s="290" t="s">
        <v>2131</v>
      </c>
      <c r="C207" s="291">
        <v>0</v>
      </c>
      <c r="D207"/>
      <c r="E207"/>
      <c r="F207"/>
      <c r="G207"/>
      <c r="H207"/>
      <c r="I207"/>
      <c r="J207"/>
      <c r="K207"/>
      <c r="L207"/>
      <c r="M207" s="287"/>
      <c r="N207" s="287"/>
    </row>
    <row r="208" spans="1:14" x14ac:dyDescent="0.25">
      <c r="A208"/>
      <c r="B208" s="290" t="s">
        <v>2132</v>
      </c>
      <c r="C208" s="291">
        <v>0</v>
      </c>
      <c r="D208" s="288" t="s">
        <v>2133</v>
      </c>
      <c r="E208"/>
      <c r="F208"/>
      <c r="G208"/>
      <c r="H208"/>
      <c r="I208"/>
      <c r="J208"/>
      <c r="K208"/>
      <c r="L208"/>
      <c r="M208" s="287"/>
      <c r="N208" s="287"/>
    </row>
    <row r="209" spans="2:14" x14ac:dyDescent="0.25">
      <c r="B209" s="290" t="s">
        <v>2134</v>
      </c>
      <c r="C209" s="291">
        <v>0</v>
      </c>
      <c r="D209"/>
      <c r="E209"/>
      <c r="F209"/>
      <c r="G209"/>
      <c r="H209"/>
      <c r="I209"/>
      <c r="J209"/>
      <c r="K209"/>
      <c r="L209"/>
      <c r="M209" s="287"/>
      <c r="N209" s="287"/>
    </row>
    <row r="210" spans="2:14" x14ac:dyDescent="0.25">
      <c r="B210" s="290" t="s">
        <v>2135</v>
      </c>
      <c r="C210" s="291">
        <v>0</v>
      </c>
      <c r="D210"/>
      <c r="E210"/>
      <c r="F210"/>
      <c r="G210"/>
      <c r="H210"/>
      <c r="I210"/>
      <c r="J210"/>
      <c r="K210"/>
      <c r="L210"/>
      <c r="M210" s="287"/>
      <c r="N210" s="287"/>
    </row>
    <row r="211" spans="2:14" x14ac:dyDescent="0.25">
      <c r="B211" s="290" t="s">
        <v>2136</v>
      </c>
      <c r="C211" s="291">
        <v>0</v>
      </c>
      <c r="D211"/>
      <c r="E211"/>
      <c r="F211"/>
      <c r="G211"/>
      <c r="H211"/>
      <c r="I211"/>
      <c r="J211"/>
      <c r="K211"/>
      <c r="L211"/>
      <c r="M211" s="287"/>
      <c r="N211" s="287"/>
    </row>
    <row r="212" spans="2:14" x14ac:dyDescent="0.25">
      <c r="B212" s="288" t="s">
        <v>2137</v>
      </c>
      <c r="C212" s="289">
        <v>4</v>
      </c>
      <c r="D212"/>
      <c r="E212"/>
      <c r="F212"/>
      <c r="G212"/>
      <c r="H212"/>
      <c r="I212"/>
      <c r="J212"/>
      <c r="K212"/>
      <c r="L212"/>
      <c r="M212"/>
      <c r="N212"/>
    </row>
    <row r="213" spans="2:14" x14ac:dyDescent="0.25">
      <c r="B213" s="290" t="s">
        <v>2138</v>
      </c>
      <c r="C213" s="291">
        <v>0</v>
      </c>
      <c r="D213"/>
      <c r="E213"/>
      <c r="F213"/>
      <c r="G213"/>
      <c r="H213"/>
      <c r="I213"/>
      <c r="J213"/>
      <c r="K213"/>
      <c r="L213"/>
      <c r="M213"/>
      <c r="N213"/>
    </row>
    <row r="214" spans="2:14" x14ac:dyDescent="0.25">
      <c r="B214" s="288" t="s">
        <v>2139</v>
      </c>
      <c r="C214" s="289">
        <v>2</v>
      </c>
      <c r="D214"/>
      <c r="E214"/>
      <c r="F214"/>
      <c r="G214"/>
      <c r="H214"/>
      <c r="I214"/>
      <c r="J214"/>
      <c r="K214"/>
      <c r="L214"/>
      <c r="M214"/>
      <c r="N214"/>
    </row>
    <row r="215" spans="2:14" x14ac:dyDescent="0.25">
      <c r="B215" s="290" t="s">
        <v>2140</v>
      </c>
      <c r="C215" s="291">
        <v>0</v>
      </c>
      <c r="D215"/>
      <c r="E215"/>
      <c r="F215"/>
      <c r="G215"/>
      <c r="H215"/>
      <c r="I215"/>
      <c r="J215"/>
      <c r="K215"/>
      <c r="L215"/>
      <c r="M215"/>
      <c r="N215"/>
    </row>
  </sheetData>
  <hyperlinks>
    <hyperlink ref="A3" location="'001-'!A1" display="001" xr:uid="{7DB2E677-5748-4B62-9BF6-5612A4B72C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Pedido grande</vt:lpstr>
      <vt:lpstr>Pedido chico</vt:lpstr>
      <vt:lpstr>Lista de Precios</vt:lpstr>
      <vt:lpstr>Lista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2026-07-18T12:28:54Z</dcterms:created>
  <dcterms:modified xsi:type="dcterms:W3CDTF">2026-07-18T12:33:49Z</dcterms:modified>
</cp:coreProperties>
</file>